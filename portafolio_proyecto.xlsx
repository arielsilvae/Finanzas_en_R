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5f88fbb8f8c9db/Escritorio/DIPLOMADO CIENCIA DE DATOS/Finanzas en R/finanzas_en_r/Finanzas_en_R/"/>
    </mc:Choice>
  </mc:AlternateContent>
  <xr:revisionPtr revIDLastSave="20" documentId="8_{0A866FD8-95D3-433E-90A3-244EFD0043D9}" xr6:coauthVersionLast="47" xr6:coauthVersionMax="47" xr10:uidLastSave="{3C3471C7-728D-4454-A5CC-076F403CFBA9}"/>
  <bookViews>
    <workbookView xWindow="-110" yWindow="-110" windowWidth="19420" windowHeight="10300" xr2:uid="{1513BAA8-FC6E-467C-BBC3-CF8165390EA5}"/>
  </bookViews>
  <sheets>
    <sheet name="PORTAFOL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4" i="1"/>
  <c r="E4" i="1" s="1"/>
  <c r="D3" i="1"/>
  <c r="E3" i="1" s="1"/>
  <c r="D2" i="1"/>
  <c r="E2" i="1" s="1"/>
</calcChain>
</file>

<file path=xl/sharedStrings.xml><?xml version="1.0" encoding="utf-8"?>
<sst xmlns="http://schemas.openxmlformats.org/spreadsheetml/2006/main" count="75" uniqueCount="45">
  <si>
    <t>ACTIVO</t>
  </si>
  <si>
    <t>INDUSTRIA/SECTOR</t>
  </si>
  <si>
    <t>TOTAL DE ACCIONES / CUOTAS</t>
  </si>
  <si>
    <t>PRECIO COMPRA</t>
  </si>
  <si>
    <t>INVERSIÓN</t>
  </si>
  <si>
    <t>GOOGL</t>
  </si>
  <si>
    <t>TECNOLOGIA</t>
  </si>
  <si>
    <t>MSFT</t>
  </si>
  <si>
    <t>MSTR</t>
  </si>
  <si>
    <t>ASML</t>
  </si>
  <si>
    <t>NVDA</t>
  </si>
  <si>
    <t>AMD</t>
  </si>
  <si>
    <t>PEP</t>
  </si>
  <si>
    <t>CONSUMO BASICO</t>
  </si>
  <si>
    <t>NKE</t>
  </si>
  <si>
    <t>CONSUMO DISCRECIONAL</t>
  </si>
  <si>
    <t>MELI</t>
  </si>
  <si>
    <t>ENIC</t>
  </si>
  <si>
    <t>PUBLICO</t>
  </si>
  <si>
    <t>AMZN</t>
  </si>
  <si>
    <t>META</t>
  </si>
  <si>
    <t>SERVICIOS DE COMUNICACIÓN</t>
  </si>
  <si>
    <t>AKO.B</t>
  </si>
  <si>
    <t>BCH</t>
  </si>
  <si>
    <t>FINANCIERA</t>
  </si>
  <si>
    <t>PFE</t>
  </si>
  <si>
    <t>SALUD</t>
  </si>
  <si>
    <t>NU</t>
  </si>
  <si>
    <t>MMM</t>
  </si>
  <si>
    <t>INDUSTRIALES</t>
  </si>
  <si>
    <t>PLUG</t>
  </si>
  <si>
    <t>VISA</t>
  </si>
  <si>
    <t>AAPL</t>
  </si>
  <si>
    <t>QBTS</t>
  </si>
  <si>
    <t>QUBT</t>
  </si>
  <si>
    <t>IFBD</t>
  </si>
  <si>
    <t>PG</t>
  </si>
  <si>
    <t>SOXL</t>
  </si>
  <si>
    <t>SQM</t>
  </si>
  <si>
    <t>MATERIALES</t>
  </si>
  <si>
    <t>NIKE</t>
  </si>
  <si>
    <t>AMAZON</t>
  </si>
  <si>
    <t>APPLE</t>
  </si>
  <si>
    <t>TESLA</t>
  </si>
  <si>
    <t>ADOBE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</si>
</sst>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42" fontId="0" fillId="2" borderId="1" xfId="1" applyFont="1" applyFill="1" applyBorder="1" applyAlignment="1">
      <alignment horizontal="center" vertical="center" wrapText="1"/>
    </xf>
    <xf numFmtId="42" fontId="0" fillId="2" borderId="1" xfId="0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5225-0D95-4F22-8F72-A445F95BDD0A}">
  <dimension ref="A1:E36"/>
  <sheetViews>
    <sheetView tabSelected="1" workbookViewId="0">
      <selection activeCell="H40" sqref="H40"/>
    </sheetView>
  </sheetViews>
  <sheetFormatPr baseColWidth="10" defaultRowHeight="14.5" x14ac:dyDescent="0.35"/>
  <cols>
    <col min="2" max="2" width="26.6328125" bestFit="1" customWidth="1"/>
    <col min="3" max="3" width="20.54296875" bestFit="1" customWidth="1"/>
    <col min="4" max="4" width="16.36328125" bestFit="1" customWidth="1"/>
    <col min="5" max="5" width="11.1796875" bestFit="1" customWidth="1"/>
  </cols>
  <sheetData>
    <row r="1" spans="1:5" ht="32" x14ac:dyDescent="0.3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</row>
    <row r="2" spans="1:5" x14ac:dyDescent="0.35">
      <c r="A2" s="1" t="s">
        <v>5</v>
      </c>
      <c r="B2" s="1" t="s">
        <v>6</v>
      </c>
      <c r="C2" s="7">
        <v>1.613</v>
      </c>
      <c r="D2" s="2">
        <f>156.27</f>
        <v>156.27000000000001</v>
      </c>
      <c r="E2" s="3">
        <f t="shared" ref="E2:E36" si="0">C2*D2</f>
        <v>252.06351000000001</v>
      </c>
    </row>
    <row r="3" spans="1:5" x14ac:dyDescent="0.35">
      <c r="A3" s="1" t="s">
        <v>7</v>
      </c>
      <c r="B3" s="1" t="s">
        <v>6</v>
      </c>
      <c r="C3" s="7">
        <v>0.35399999999999998</v>
      </c>
      <c r="D3" s="2">
        <f>373.52</f>
        <v>373.52</v>
      </c>
      <c r="E3" s="3">
        <f>C3*D3</f>
        <v>132.22608</v>
      </c>
    </row>
    <row r="4" spans="1:5" x14ac:dyDescent="0.35">
      <c r="A4" s="1" t="s">
        <v>8</v>
      </c>
      <c r="B4" s="1" t="s">
        <v>6</v>
      </c>
      <c r="C4" s="7">
        <v>0.95089999999999997</v>
      </c>
      <c r="D4" s="2">
        <f>234.23</f>
        <v>234.23</v>
      </c>
      <c r="E4" s="3">
        <f t="shared" si="0"/>
        <v>222.72930699999998</v>
      </c>
    </row>
    <row r="5" spans="1:5" x14ac:dyDescent="0.35">
      <c r="A5" s="1" t="s">
        <v>9</v>
      </c>
      <c r="B5" s="1" t="s">
        <v>6</v>
      </c>
      <c r="C5" s="7">
        <v>0.11243</v>
      </c>
      <c r="D5" s="2">
        <v>736.89</v>
      </c>
      <c r="E5" s="3">
        <f t="shared" si="0"/>
        <v>82.848542699999996</v>
      </c>
    </row>
    <row r="6" spans="1:5" x14ac:dyDescent="0.35">
      <c r="A6" s="1" t="s">
        <v>10</v>
      </c>
      <c r="B6" s="1" t="s">
        <v>6</v>
      </c>
      <c r="C6" s="7">
        <v>0.67712000000000006</v>
      </c>
      <c r="D6" s="2">
        <v>100.85</v>
      </c>
      <c r="E6" s="3">
        <f t="shared" si="0"/>
        <v>68.287552000000005</v>
      </c>
    </row>
    <row r="7" spans="1:5" x14ac:dyDescent="0.35">
      <c r="A7" s="1" t="s">
        <v>11</v>
      </c>
      <c r="B7" s="1" t="s">
        <v>6</v>
      </c>
      <c r="C7" s="7">
        <v>0.54500000000000004</v>
      </c>
      <c r="D7" s="2">
        <v>114.04</v>
      </c>
      <c r="E7" s="3">
        <f t="shared" si="0"/>
        <v>62.151800000000009</v>
      </c>
    </row>
    <row r="8" spans="1:5" x14ac:dyDescent="0.35">
      <c r="A8" s="1" t="s">
        <v>12</v>
      </c>
      <c r="B8" s="1" t="s">
        <v>13</v>
      </c>
      <c r="C8" s="7">
        <v>0.89880000000000004</v>
      </c>
      <c r="D8" s="2">
        <v>144.87</v>
      </c>
      <c r="E8" s="3">
        <f t="shared" si="0"/>
        <v>130.20915600000001</v>
      </c>
    </row>
    <row r="9" spans="1:5" x14ac:dyDescent="0.35">
      <c r="A9" s="1" t="s">
        <v>14</v>
      </c>
      <c r="B9" s="1" t="s">
        <v>15</v>
      </c>
      <c r="C9" s="7">
        <v>1.1299999999999999</v>
      </c>
      <c r="D9" s="2">
        <v>75.22</v>
      </c>
      <c r="E9" s="3">
        <f t="shared" si="0"/>
        <v>84.998599999999996</v>
      </c>
    </row>
    <row r="10" spans="1:5" x14ac:dyDescent="0.35">
      <c r="A10" s="1" t="s">
        <v>16</v>
      </c>
      <c r="B10" s="1" t="s">
        <v>15</v>
      </c>
      <c r="C10" s="7">
        <v>3.4860000000000002E-2</v>
      </c>
      <c r="D10" s="2">
        <v>1434</v>
      </c>
      <c r="E10" s="3">
        <f t="shared" si="0"/>
        <v>49.989240000000002</v>
      </c>
    </row>
    <row r="11" spans="1:5" x14ac:dyDescent="0.35">
      <c r="A11" s="1" t="s">
        <v>17</v>
      </c>
      <c r="B11" s="1" t="s">
        <v>18</v>
      </c>
      <c r="C11" s="7">
        <v>16.559999999999999</v>
      </c>
      <c r="D11" s="2">
        <v>2.81</v>
      </c>
      <c r="E11" s="3">
        <f t="shared" si="0"/>
        <v>46.5336</v>
      </c>
    </row>
    <row r="12" spans="1:5" x14ac:dyDescent="0.35">
      <c r="A12" s="1" t="s">
        <v>19</v>
      </c>
      <c r="B12" s="1" t="s">
        <v>15</v>
      </c>
      <c r="C12" s="7">
        <v>0.21065</v>
      </c>
      <c r="D12" s="2">
        <v>166.15</v>
      </c>
      <c r="E12" s="3">
        <f t="shared" si="0"/>
        <v>34.999497500000004</v>
      </c>
    </row>
    <row r="13" spans="1:5" x14ac:dyDescent="0.35">
      <c r="A13" s="1" t="s">
        <v>20</v>
      </c>
      <c r="B13" s="1" t="s">
        <v>21</v>
      </c>
      <c r="C13" s="7">
        <v>7.2400000000000006E-2</v>
      </c>
      <c r="D13" s="2">
        <v>472.91</v>
      </c>
      <c r="E13" s="3">
        <f t="shared" si="0"/>
        <v>34.238684000000006</v>
      </c>
    </row>
    <row r="14" spans="1:5" x14ac:dyDescent="0.35">
      <c r="A14" s="1" t="s">
        <v>22</v>
      </c>
      <c r="B14" s="1" t="s">
        <v>13</v>
      </c>
      <c r="C14" s="7">
        <v>1.4590000000000001</v>
      </c>
      <c r="D14" s="2">
        <v>13.7</v>
      </c>
      <c r="E14" s="3">
        <f t="shared" si="0"/>
        <v>19.988299999999999</v>
      </c>
    </row>
    <row r="15" spans="1:5" x14ac:dyDescent="0.35">
      <c r="A15" s="1" t="s">
        <v>23</v>
      </c>
      <c r="B15" s="1" t="s">
        <v>24</v>
      </c>
      <c r="C15" s="7">
        <v>0.99</v>
      </c>
      <c r="D15" s="2">
        <v>20.190000000000001</v>
      </c>
      <c r="E15" s="3">
        <f t="shared" si="0"/>
        <v>19.988099999999999</v>
      </c>
    </row>
    <row r="16" spans="1:5" x14ac:dyDescent="0.35">
      <c r="A16" s="1" t="s">
        <v>25</v>
      </c>
      <c r="B16" s="1" t="s">
        <v>26</v>
      </c>
      <c r="C16" s="7">
        <v>1.3546</v>
      </c>
      <c r="D16" s="2">
        <v>25.15</v>
      </c>
      <c r="E16" s="3">
        <f t="shared" si="0"/>
        <v>34.068190000000001</v>
      </c>
    </row>
    <row r="17" spans="1:5" x14ac:dyDescent="0.35">
      <c r="A17" s="1" t="s">
        <v>27</v>
      </c>
      <c r="B17" s="1" t="s">
        <v>24</v>
      </c>
      <c r="C17" s="7">
        <v>2.0095999999999998</v>
      </c>
      <c r="D17" s="2">
        <v>12.44</v>
      </c>
      <c r="E17" s="3">
        <f t="shared" si="0"/>
        <v>24.999423999999998</v>
      </c>
    </row>
    <row r="18" spans="1:5" x14ac:dyDescent="0.35">
      <c r="A18" s="1" t="s">
        <v>28</v>
      </c>
      <c r="B18" s="1" t="s">
        <v>29</v>
      </c>
      <c r="C18" s="7">
        <v>0.1089</v>
      </c>
      <c r="D18" s="2">
        <v>76.739999999999995</v>
      </c>
      <c r="E18" s="3">
        <f t="shared" si="0"/>
        <v>8.3569859999999991</v>
      </c>
    </row>
    <row r="19" spans="1:5" x14ac:dyDescent="0.35">
      <c r="A19" s="1" t="s">
        <v>30</v>
      </c>
      <c r="B19" s="1" t="s">
        <v>29</v>
      </c>
      <c r="C19" s="7">
        <v>7.7628000000000004</v>
      </c>
      <c r="D19" s="2">
        <v>2.09</v>
      </c>
      <c r="E19" s="3">
        <f t="shared" si="0"/>
        <v>16.224252</v>
      </c>
    </row>
    <row r="20" spans="1:5" x14ac:dyDescent="0.35">
      <c r="A20" s="1" t="s">
        <v>31</v>
      </c>
      <c r="B20" s="1" t="s">
        <v>24</v>
      </c>
      <c r="C20" s="7">
        <v>0.6542</v>
      </c>
      <c r="D20" s="2">
        <v>275.13</v>
      </c>
      <c r="E20" s="3">
        <f t="shared" si="0"/>
        <v>179.99004600000001</v>
      </c>
    </row>
    <row r="21" spans="1:5" x14ac:dyDescent="0.35">
      <c r="A21" s="1" t="s">
        <v>32</v>
      </c>
      <c r="B21" s="1" t="s">
        <v>6</v>
      </c>
      <c r="C21" s="7">
        <v>5.0599999999999999E-2</v>
      </c>
      <c r="D21" s="2">
        <v>173.6</v>
      </c>
      <c r="E21" s="3">
        <f t="shared" si="0"/>
        <v>8.78416</v>
      </c>
    </row>
    <row r="22" spans="1:5" x14ac:dyDescent="0.35">
      <c r="A22" s="1" t="s">
        <v>33</v>
      </c>
      <c r="B22" s="1" t="s">
        <v>6</v>
      </c>
      <c r="C22" s="7">
        <v>0.22539999999999999</v>
      </c>
      <c r="D22" s="2">
        <v>22.27</v>
      </c>
      <c r="E22" s="3">
        <f t="shared" si="0"/>
        <v>5.0196579999999997</v>
      </c>
    </row>
    <row r="23" spans="1:5" x14ac:dyDescent="0.35">
      <c r="A23" s="1" t="s">
        <v>34</v>
      </c>
      <c r="B23" s="1" t="s">
        <v>6</v>
      </c>
      <c r="C23" s="7">
        <v>1.2629999999999999</v>
      </c>
      <c r="D23" s="2">
        <v>13.06</v>
      </c>
      <c r="E23" s="3">
        <f t="shared" si="0"/>
        <v>16.494779999999999</v>
      </c>
    </row>
    <row r="24" spans="1:5" x14ac:dyDescent="0.35">
      <c r="A24" s="1" t="s">
        <v>35</v>
      </c>
      <c r="B24" s="1" t="s">
        <v>6</v>
      </c>
      <c r="C24" s="7">
        <v>6.3512000000000004</v>
      </c>
      <c r="D24" s="2">
        <v>2.36</v>
      </c>
      <c r="E24" s="3">
        <f t="shared" si="0"/>
        <v>14.988832</v>
      </c>
    </row>
    <row r="25" spans="1:5" x14ac:dyDescent="0.35">
      <c r="A25" s="1" t="s">
        <v>36</v>
      </c>
      <c r="B25" s="1" t="s">
        <v>13</v>
      </c>
      <c r="C25" s="7">
        <v>0.1739</v>
      </c>
      <c r="D25" s="2">
        <v>146.97</v>
      </c>
      <c r="E25" s="3">
        <f t="shared" si="0"/>
        <v>25.558083</v>
      </c>
    </row>
    <row r="26" spans="1:5" x14ac:dyDescent="0.35">
      <c r="A26" s="1" t="s">
        <v>37</v>
      </c>
      <c r="B26" s="1" t="s">
        <v>6</v>
      </c>
      <c r="C26" s="7">
        <v>1.1003000000000001</v>
      </c>
      <c r="D26" s="2">
        <v>21.1</v>
      </c>
      <c r="E26" s="3">
        <f t="shared" si="0"/>
        <v>23.216330000000003</v>
      </c>
    </row>
    <row r="27" spans="1:5" x14ac:dyDescent="0.35">
      <c r="A27" s="1" t="s">
        <v>38</v>
      </c>
      <c r="B27" s="1" t="s">
        <v>39</v>
      </c>
      <c r="C27" s="7">
        <v>3</v>
      </c>
      <c r="D27" s="2">
        <v>47.63</v>
      </c>
      <c r="E27" s="3">
        <f t="shared" si="0"/>
        <v>142.89000000000001</v>
      </c>
    </row>
    <row r="28" spans="1:5" x14ac:dyDescent="0.35">
      <c r="A28" s="1" t="s">
        <v>7</v>
      </c>
      <c r="B28" s="1" t="s">
        <v>6</v>
      </c>
      <c r="C28" s="7">
        <v>0.31390000000000001</v>
      </c>
      <c r="D28" s="2">
        <v>378.17</v>
      </c>
      <c r="E28" s="3">
        <f t="shared" si="0"/>
        <v>118.70756300000001</v>
      </c>
    </row>
    <row r="29" spans="1:5" x14ac:dyDescent="0.35">
      <c r="A29" s="1" t="s">
        <v>40</v>
      </c>
      <c r="B29" s="1" t="s">
        <v>15</v>
      </c>
      <c r="C29" s="7">
        <v>1.4031</v>
      </c>
      <c r="D29" s="2">
        <v>91.06</v>
      </c>
      <c r="E29" s="3">
        <f t="shared" si="0"/>
        <v>127.76628600000001</v>
      </c>
    </row>
    <row r="30" spans="1:5" x14ac:dyDescent="0.35">
      <c r="A30" s="1" t="s">
        <v>12</v>
      </c>
      <c r="B30" s="1" t="s">
        <v>13</v>
      </c>
      <c r="C30" s="7">
        <v>0.5927</v>
      </c>
      <c r="D30" s="2">
        <v>138.33000000000001</v>
      </c>
      <c r="E30" s="3">
        <f t="shared" si="0"/>
        <v>81.988191000000015</v>
      </c>
    </row>
    <row r="31" spans="1:5" x14ac:dyDescent="0.35">
      <c r="A31" s="4" t="s">
        <v>41</v>
      </c>
      <c r="B31" s="1" t="s">
        <v>15</v>
      </c>
      <c r="C31" s="7">
        <v>0.1462</v>
      </c>
      <c r="D31" s="2">
        <v>170.99</v>
      </c>
      <c r="E31" s="3">
        <f t="shared" si="0"/>
        <v>24.998737999999999</v>
      </c>
    </row>
    <row r="32" spans="1:5" x14ac:dyDescent="0.35">
      <c r="A32" s="1" t="s">
        <v>42</v>
      </c>
      <c r="B32" s="1" t="s">
        <v>6</v>
      </c>
      <c r="C32" s="7">
        <v>0.21099999999999999</v>
      </c>
      <c r="D32" s="2">
        <v>179.99</v>
      </c>
      <c r="E32" s="3">
        <f t="shared" si="0"/>
        <v>37.977890000000002</v>
      </c>
    </row>
    <row r="33" spans="1:5" x14ac:dyDescent="0.35">
      <c r="A33" s="1" t="s">
        <v>43</v>
      </c>
      <c r="B33" s="1" t="s">
        <v>15</v>
      </c>
      <c r="C33" s="7">
        <v>0.1406</v>
      </c>
      <c r="D33" s="2">
        <v>258.81</v>
      </c>
      <c r="E33" s="3">
        <f t="shared" si="0"/>
        <v>36.388686</v>
      </c>
    </row>
    <row r="34" spans="1:5" x14ac:dyDescent="0.35">
      <c r="A34" s="1" t="s">
        <v>44</v>
      </c>
      <c r="B34" s="1" t="s">
        <v>6</v>
      </c>
      <c r="C34" s="7">
        <v>0.41389999999999999</v>
      </c>
      <c r="D34" s="2">
        <v>378.17</v>
      </c>
      <c r="E34" s="3">
        <f t="shared" si="0"/>
        <v>156.524563</v>
      </c>
    </row>
    <row r="35" spans="1:5" x14ac:dyDescent="0.35">
      <c r="A35" s="1" t="s">
        <v>16</v>
      </c>
      <c r="B35" s="1" t="s">
        <v>15</v>
      </c>
      <c r="C35" s="7">
        <v>0.03</v>
      </c>
      <c r="D35" s="2">
        <v>1552.96</v>
      </c>
      <c r="E35" s="3">
        <f t="shared" si="0"/>
        <v>46.588799999999999</v>
      </c>
    </row>
    <row r="36" spans="1:5" x14ac:dyDescent="0.35">
      <c r="A36" s="1" t="s">
        <v>5</v>
      </c>
      <c r="B36" s="1" t="s">
        <v>6</v>
      </c>
      <c r="C36" s="7">
        <v>1.37</v>
      </c>
      <c r="D36" s="2">
        <v>143.34</v>
      </c>
      <c r="E36" s="3">
        <f t="shared" si="0"/>
        <v>196.37580000000003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PORTAFOLIO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Silva</dc:creator>
  <cp:lastModifiedBy>Ariel Silva</cp:lastModifiedBy>
  <dcterms:created xsi:type="dcterms:W3CDTF">2026-01-28T18:57:02Z</dcterms:created>
  <dcterms:modified xsi:type="dcterms:W3CDTF">2026-01-28T19:14:42Z</dcterms:modified>
</cp:coreProperties>
</file>