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5f88fbb8f8c9db/Escritorio/DIPLOMADO CIENCIA DE DATOS/Finanzas en R/finanzas_en_r/Finanzas_en_R/"/>
    </mc:Choice>
  </mc:AlternateContent>
  <xr:revisionPtr revIDLastSave="641" documentId="13_ncr:2001_{BE1BD784-545C-474D-AC44-7CC42A439AF9}" xr6:coauthVersionLast="47" xr6:coauthVersionMax="47" xr10:uidLastSave="{EBB03A34-BA15-4686-AF85-74B6D9DA25CD}"/>
  <bookViews>
    <workbookView xWindow="-110" yWindow="-110" windowWidth="19420" windowHeight="10300" firstSheet="3" activeTab="10" xr2:uid="{09E7B617-2514-4CD2-829B-1C5FD711F93D}"/>
  </bookViews>
  <sheets>
    <sheet name="Hoja2" sheetId="9" r:id="rId1"/>
    <sheet name="PORTAFOLIO" sheetId="8" r:id="rId2"/>
    <sheet name="Hoja3" sheetId="10" r:id="rId3"/>
    <sheet name="Hoja1" sheetId="1" r:id="rId4"/>
    <sheet name="CONSORCIO" sheetId="2" r:id="rId5"/>
    <sheet name="FINTUAL" sheetId="3" r:id="rId6"/>
    <sheet name="RACIONAL" sheetId="4" r:id="rId7"/>
    <sheet name="ZESTY" sheetId="5" r:id="rId8"/>
    <sheet name="DVA" sheetId="6" r:id="rId9"/>
    <sheet name="BINANCE" sheetId="7" r:id="rId10"/>
    <sheet name="R" sheetId="11" r:id="rId11"/>
  </sheet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1" l="1"/>
  <c r="E4" i="11"/>
  <c r="E3" i="11"/>
  <c r="H11" i="8"/>
  <c r="J5" i="8"/>
  <c r="J4" i="8"/>
  <c r="F3" i="9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H5" i="8"/>
  <c r="K5" i="8" s="1"/>
  <c r="H6" i="8"/>
  <c r="K6" i="8" s="1"/>
  <c r="H7" i="8"/>
  <c r="K7" i="8" s="1"/>
  <c r="H8" i="8"/>
  <c r="K8" i="8" s="1"/>
  <c r="H9" i="8"/>
  <c r="K9" i="8" s="1"/>
  <c r="H10" i="8"/>
  <c r="K10" i="8" s="1"/>
  <c r="H12" i="8"/>
  <c r="H13" i="8"/>
  <c r="K13" i="8" s="1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K45" i="8" s="1"/>
  <c r="H4" i="8"/>
  <c r="L15" i="1"/>
  <c r="H18" i="1"/>
  <c r="H19" i="1"/>
  <c r="H20" i="1"/>
  <c r="H21" i="1"/>
  <c r="H22" i="1"/>
  <c r="H17" i="1"/>
  <c r="H16" i="1"/>
  <c r="H15" i="1"/>
  <c r="H14" i="1"/>
  <c r="H13" i="1"/>
  <c r="G28" i="1"/>
  <c r="H12" i="1"/>
  <c r="H23" i="1"/>
  <c r="H7" i="1"/>
  <c r="H8" i="1"/>
  <c r="H6" i="1"/>
  <c r="H9" i="1"/>
  <c r="H5" i="1"/>
  <c r="H11" i="1"/>
  <c r="J46" i="8" l="1"/>
  <c r="H46" i="8"/>
  <c r="J5" i="1"/>
  <c r="H10" i="1"/>
  <c r="F25" i="1"/>
  <c r="G25" i="1"/>
  <c r="L19" i="8" l="1"/>
  <c r="L45" i="8"/>
  <c r="L17" i="8"/>
  <c r="L21" i="8"/>
  <c r="L38" i="8"/>
  <c r="L37" i="8"/>
  <c r="L27" i="8"/>
  <c r="L11" i="8"/>
  <c r="L5" i="8"/>
  <c r="L18" i="8"/>
  <c r="L6" i="8"/>
  <c r="L28" i="8"/>
  <c r="L7" i="8"/>
  <c r="L36" i="8"/>
  <c r="L32" i="8"/>
  <c r="L25" i="8"/>
  <c r="L12" i="8"/>
  <c r="L8" i="8"/>
  <c r="L44" i="8"/>
  <c r="L40" i="8"/>
  <c r="L9" i="8"/>
  <c r="L10" i="8"/>
  <c r="L43" i="8"/>
  <c r="L30" i="8"/>
  <c r="L33" i="8"/>
  <c r="L22" i="8"/>
  <c r="L26" i="8"/>
  <c r="L20" i="8"/>
  <c r="L15" i="8"/>
  <c r="L14" i="8"/>
  <c r="L34" i="8"/>
  <c r="L13" i="8"/>
  <c r="L42" i="8"/>
  <c r="L29" i="8"/>
  <c r="L23" i="8"/>
  <c r="L16" i="8"/>
  <c r="L39" i="8"/>
  <c r="L35" i="8"/>
  <c r="L46" i="8"/>
  <c r="L31" i="8"/>
  <c r="L24" i="8"/>
  <c r="L4" i="8"/>
  <c r="L41" i="8"/>
  <c r="H25" i="1"/>
  <c r="H16" i="11" l="1"/>
  <c r="H15" i="11"/>
  <c r="H31" i="11"/>
  <c r="H8" i="11"/>
  <c r="H9" i="11"/>
  <c r="H17" i="11"/>
  <c r="H33" i="11"/>
  <c r="H19" i="11"/>
  <c r="H35" i="11"/>
  <c r="H7" i="11"/>
  <c r="H27" i="11"/>
  <c r="H32" i="11"/>
  <c r="H37" i="11"/>
  <c r="H29" i="11"/>
  <c r="H21" i="11"/>
  <c r="H13" i="11"/>
  <c r="H5" i="11"/>
  <c r="H11" i="11"/>
  <c r="H23" i="11"/>
  <c r="H24" i="11"/>
  <c r="H25" i="11"/>
  <c r="H6" i="11"/>
  <c r="H10" i="11"/>
  <c r="H14" i="11"/>
  <c r="H18" i="11"/>
  <c r="H22" i="11"/>
  <c r="H26" i="11"/>
  <c r="H30" i="11"/>
  <c r="H34" i="11"/>
  <c r="H36" i="11"/>
  <c r="H28" i="11"/>
  <c r="H20" i="11"/>
  <c r="H12" i="11"/>
  <c r="H4" i="11"/>
  <c r="H3" i="11"/>
  <c r="F19" i="11"/>
  <c r="F22" i="11"/>
  <c r="F32" i="11"/>
  <c r="F30" i="11"/>
  <c r="F33" i="11"/>
  <c r="F8" i="11"/>
  <c r="F25" i="11"/>
  <c r="F34" i="11"/>
  <c r="F37" i="11"/>
  <c r="F29" i="11"/>
  <c r="F16" i="11"/>
  <c r="F26" i="11"/>
  <c r="F27" i="11"/>
  <c r="F17" i="11"/>
  <c r="F9" i="11"/>
  <c r="F20" i="11"/>
  <c r="F6" i="11"/>
  <c r="F28" i="11"/>
  <c r="F23" i="11"/>
  <c r="F14" i="11"/>
  <c r="F18" i="11"/>
  <c r="F10" i="11"/>
  <c r="F15" i="11"/>
  <c r="F12" i="11"/>
  <c r="F11" i="11"/>
  <c r="F36" i="11"/>
  <c r="F7" i="11"/>
  <c r="F21" i="11"/>
  <c r="F31" i="11"/>
  <c r="F24" i="11"/>
  <c r="F5" i="11"/>
  <c r="F13" i="11"/>
  <c r="F4" i="11"/>
  <c r="F35" i="11"/>
  <c r="F3" i="11"/>
  <c r="I16" i="11"/>
  <c r="K27" i="8"/>
  <c r="K32" i="8"/>
  <c r="I11" i="11"/>
  <c r="I21" i="11"/>
  <c r="I8" i="11"/>
  <c r="K41" i="8"/>
  <c r="K44" i="8"/>
  <c r="K37" i="8"/>
  <c r="K12" i="8"/>
  <c r="K35" i="8"/>
  <c r="K40" i="8"/>
  <c r="K42" i="8"/>
  <c r="K17" i="8"/>
  <c r="I13" i="11"/>
  <c r="K38" i="8"/>
  <c r="I22" i="11"/>
  <c r="K4" i="8"/>
  <c r="K18" i="8"/>
  <c r="K11" i="8"/>
  <c r="I24" i="11"/>
  <c r="K14" i="8"/>
  <c r="I32" i="11"/>
  <c r="K31" i="8"/>
  <c r="K25" i="8"/>
  <c r="I36" i="11"/>
  <c r="I17" i="11"/>
  <c r="I27" i="11"/>
  <c r="I26" i="11"/>
  <c r="K22" i="8"/>
  <c r="I10" i="11"/>
  <c r="I30" i="11"/>
  <c r="I23" i="11"/>
  <c r="K16" i="8"/>
  <c r="K26" i="8"/>
  <c r="K43" i="8"/>
  <c r="I25" i="11"/>
  <c r="K28" i="8"/>
  <c r="K23" i="8"/>
  <c r="K20" i="8"/>
  <c r="I12" i="11"/>
  <c r="I33" i="11"/>
  <c r="I28" i="11"/>
  <c r="I20" i="11"/>
  <c r="K21" i="8"/>
  <c r="I6" i="11"/>
  <c r="I4" i="11"/>
  <c r="K33" i="8"/>
  <c r="K39" i="8"/>
  <c r="K30" i="8"/>
  <c r="I15" i="11"/>
  <c r="K36" i="8"/>
  <c r="I3" i="11"/>
  <c r="I31" i="11"/>
  <c r="I18" i="11"/>
  <c r="I19" i="11"/>
  <c r="K29" i="8"/>
  <c r="I14" i="11"/>
  <c r="I34" i="11"/>
  <c r="K34" i="8"/>
  <c r="J10" i="11"/>
  <c r="J30" i="11"/>
  <c r="J13" i="11"/>
  <c r="J18" i="11"/>
  <c r="J35" i="11"/>
  <c r="J23" i="11"/>
  <c r="J5" i="11"/>
  <c r="J25" i="11"/>
  <c r="J9" i="11"/>
  <c r="J37" i="11"/>
  <c r="J4" i="11"/>
  <c r="J21" i="11"/>
  <c r="J6" i="11"/>
  <c r="J29" i="11"/>
  <c r="J26" i="11"/>
  <c r="J16" i="11"/>
  <c r="J24" i="11"/>
  <c r="J14" i="11"/>
  <c r="J3" i="11"/>
  <c r="J32" i="11"/>
  <c r="J34" i="11"/>
  <c r="J20" i="11"/>
  <c r="J33" i="11"/>
  <c r="J11" i="11"/>
  <c r="J22" i="11"/>
  <c r="J36" i="11"/>
  <c r="J31" i="11"/>
  <c r="J19" i="11"/>
  <c r="J28" i="11"/>
  <c r="J7" i="11"/>
  <c r="J8" i="11"/>
  <c r="J12" i="11"/>
  <c r="J27" i="11"/>
  <c r="J17" i="11"/>
  <c r="I5" i="11"/>
  <c r="J15" i="11"/>
  <c r="I29" i="11"/>
  <c r="K19" i="8"/>
  <c r="K24" i="8"/>
  <c r="I37" i="11"/>
  <c r="I9" i="11"/>
  <c r="I35" i="11"/>
  <c r="I7" i="11"/>
  <c r="K1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tc={843AD050-2B91-4D1D-B6F1-8B8DAE2A4F69}</author>
  </authors>
  <commentList>
    <comment ref="H4" authorId="0" shapeId="0" xr:uid="{843AD050-2B91-4D1D-B6F1-8B8DAE2A4F6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Atento que esta en CLP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tc={6307BF06-83A9-4AC7-A6B1-2E34A2C4BE74}</author>
    <author>tc={769BA439-FD11-4887-AE7D-D9758FDEB922}</author>
    <author>tc={3AA67EFD-322F-40F5-99CD-5B065DCAD194}</author>
  </authors>
  <commentList>
    <comment ref="F2" authorId="0" shapeId="0" xr:uid="{6307BF06-83A9-4AC7-A6B1-2E34A2C4BE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valor total de todas las acciones que tiene ese portafolio de inversión. Representa la suma de los valores actuales de todas las acciones en mi poseción</t>
      </text>
    </comment>
    <comment ref="G2" authorId="1" shapeId="0" xr:uid="{769BA439-FD11-4887-AE7D-D9758FDEB9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Ganancia/perdida global en mi portafolio.</t>
      </text>
    </comment>
    <comment ref="H2" authorId="2" shapeId="0" xr:uid="{3AA67EFD-322F-40F5-99CD-5B065DCAD1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 DIFERENCIA ENTRE EL TOTAL DE LAS ACCIONES</t>
      </text>
    </comment>
  </commentList>
</comments>
</file>

<file path=xl/sharedStrings.xml><?xml version="1.0" encoding="utf-8"?>
<sst xmlns="http://schemas.openxmlformats.org/spreadsheetml/2006/main" count="236" uniqueCount="93">
  <si>
    <t>TOTAL</t>
  </si>
  <si>
    <t>DVA</t>
  </si>
  <si>
    <t>RACIONAL</t>
  </si>
  <si>
    <t>FUNTUAL</t>
  </si>
  <si>
    <t>BINANCE</t>
  </si>
  <si>
    <t>DEPOSITADO</t>
  </si>
  <si>
    <t>RENTABILIDAD</t>
  </si>
  <si>
    <t>VARIACIÓN ACTUAL</t>
  </si>
  <si>
    <t xml:space="preserve">BALANCE </t>
  </si>
  <si>
    <t>COMPRAS NETAS</t>
  </si>
  <si>
    <t>TOTAL DE ACCIONES</t>
  </si>
  <si>
    <t>BROKER</t>
  </si>
  <si>
    <t>FINT</t>
  </si>
  <si>
    <t>NOMBRE</t>
  </si>
  <si>
    <t>LTM</t>
  </si>
  <si>
    <t>E- FUND</t>
  </si>
  <si>
    <t>SILICON FUND</t>
  </si>
  <si>
    <t>VALOR PROM.DE ACCIÓN</t>
  </si>
  <si>
    <t>IPSA</t>
  </si>
  <si>
    <t>ZESTY</t>
  </si>
  <si>
    <t>MULTIAXIS</t>
  </si>
  <si>
    <t>MEDTECH</t>
  </si>
  <si>
    <t>TOTAL MACRO</t>
  </si>
  <si>
    <t>% de la acción</t>
  </si>
  <si>
    <t>SQM</t>
  </si>
  <si>
    <t>ALPHABET</t>
  </si>
  <si>
    <t>143 USD</t>
  </si>
  <si>
    <t>MSFT</t>
  </si>
  <si>
    <t>NIKE</t>
  </si>
  <si>
    <t>PEPSI</t>
  </si>
  <si>
    <t>ADOBE</t>
  </si>
  <si>
    <t>MERCADO LIBRE</t>
  </si>
  <si>
    <t>AAPPLE</t>
  </si>
  <si>
    <t>TESLA</t>
  </si>
  <si>
    <t>AMAZON</t>
  </si>
  <si>
    <t>S&amp;P500</t>
  </si>
  <si>
    <t>GAME STOP</t>
  </si>
  <si>
    <t>ACTIVO</t>
  </si>
  <si>
    <t>PRECIO COMPRA</t>
  </si>
  <si>
    <t>INVERSIÓN</t>
  </si>
  <si>
    <t>PRECIO ACTUAL</t>
  </si>
  <si>
    <t>VALOR ACTUAL</t>
  </si>
  <si>
    <t>GANANCIA / PERDIDA</t>
  </si>
  <si>
    <t>PESO % PORTAFOLIO</t>
  </si>
  <si>
    <t>APPLE</t>
  </si>
  <si>
    <t>GOOGL</t>
  </si>
  <si>
    <t>MSTR</t>
  </si>
  <si>
    <t>ASML</t>
  </si>
  <si>
    <t>NVDA</t>
  </si>
  <si>
    <t>AMD</t>
  </si>
  <si>
    <t>PEP</t>
  </si>
  <si>
    <t>NKE</t>
  </si>
  <si>
    <t>MELI</t>
  </si>
  <si>
    <t>ENIC</t>
  </si>
  <si>
    <t>SOXL</t>
  </si>
  <si>
    <t>AMZN</t>
  </si>
  <si>
    <t>META</t>
  </si>
  <si>
    <t>AKO.B</t>
  </si>
  <si>
    <t>BCH</t>
  </si>
  <si>
    <t>PFE</t>
  </si>
  <si>
    <t>MMM</t>
  </si>
  <si>
    <t>PLUG</t>
  </si>
  <si>
    <t>VISA</t>
  </si>
  <si>
    <t>PG</t>
  </si>
  <si>
    <t>AAPL</t>
  </si>
  <si>
    <t>QBTS</t>
  </si>
  <si>
    <t>IFBD</t>
  </si>
  <si>
    <t>QUBT</t>
  </si>
  <si>
    <t>MATERIALES</t>
  </si>
  <si>
    <t>TECNOLOGIA</t>
  </si>
  <si>
    <t>CONSUMO BASICO</t>
  </si>
  <si>
    <t>MUNDIAL</t>
  </si>
  <si>
    <t>ENERGIA</t>
  </si>
  <si>
    <t>SALUD</t>
  </si>
  <si>
    <t>FINTUAL</t>
  </si>
  <si>
    <t>CONSUMO DISCRECIONAL</t>
  </si>
  <si>
    <t>INDUSTRIALES</t>
  </si>
  <si>
    <t>INDUSTRIA/SECTOR</t>
  </si>
  <si>
    <t>SERVICIOS DE COMUNICACIÓN</t>
  </si>
  <si>
    <t>PUBLICO</t>
  </si>
  <si>
    <t>FINANCIERA</t>
  </si>
  <si>
    <t>NU</t>
  </si>
  <si>
    <t>Etiquetas de fila</t>
  </si>
  <si>
    <t>(en blanco)</t>
  </si>
  <si>
    <t>Total general</t>
  </si>
  <si>
    <t>Suma de VALOR ACTUAL</t>
  </si>
  <si>
    <t>TOTALES</t>
  </si>
  <si>
    <t>TOTAL DE ACCIONES / CUOTAS</t>
  </si>
  <si>
    <t xml:space="preserve"> MONEDA</t>
  </si>
  <si>
    <t>MONEDA</t>
  </si>
  <si>
    <t>TC A CLP</t>
  </si>
  <si>
    <t>CLP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</si>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</sst>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 &quot;$&quot;* #,##0.00_ ;_ &quot;$&quot;* \-#,##0.00_ ;_ &quot;$&quot;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42" fontId="0" fillId="2" borderId="1" xfId="0" applyNumberFormat="1" applyFill="1" applyBorder="1" applyAlignment="1">
      <alignment horizontal="center" vertical="center" wrapText="1"/>
    </xf>
    <xf numFmtId="42" fontId="0" fillId="2" borderId="1" xfId="1" applyFont="1" applyFill="1" applyBorder="1" applyAlignment="1">
      <alignment horizontal="center" vertical="center" wrapText="1"/>
    </xf>
    <xf numFmtId="0" fontId="0" fillId="2" borderId="1" xfId="0" applyFill="1" applyBorder="1"/>
    <xf numFmtId="42" fontId="0" fillId="2" borderId="1" xfId="0" applyNumberFormat="1" applyFill="1" applyBorder="1"/>
    <xf numFmtId="42" fontId="2" fillId="2" borderId="1" xfId="0" applyNumberFormat="1" applyFont="1" applyFill="1" applyBorder="1"/>
    <xf numFmtId="0" fontId="0" fillId="2" borderId="0" xfId="0" applyFill="1" applyAlignment="1">
      <alignment horizontal="center"/>
    </xf>
    <xf numFmtId="10" fontId="0" fillId="2" borderId="1" xfId="2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/>
    <xf numFmtId="164" fontId="0" fillId="2" borderId="1" xfId="1" applyNumberFormat="1" applyFont="1" applyFill="1" applyBorder="1" applyAlignment="1">
      <alignment horizontal="center" vertical="center" wrapText="1"/>
    </xf>
    <xf numFmtId="164" fontId="0" fillId="2" borderId="0" xfId="0" applyNumberFormat="1" applyFill="1"/>
    <xf numFmtId="9" fontId="0" fillId="2" borderId="1" xfId="2" applyFont="1" applyFill="1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2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716740</xdr:colOff>
      <xdr:row>38</xdr:row>
      <xdr:rowOff>108918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7A7925-742B-4126-87C1-A582E218D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480740" cy="71066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20</xdr:col>
      <xdr:colOff>602073</xdr:colOff>
      <xdr:row>41</xdr:row>
      <xdr:rowOff>45407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3F520C-3FE2-17CB-EE34-A31F879F1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736600"/>
          <a:ext cx="14318073" cy="68589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iel Silva" id="{4028FFEC-B5A7-42A6-BB73-8233B82FB59B}" userId="a95f88fbb8f8c9db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el Silva" refreshedDate="46004.868746759261" createdVersion="8" refreshedVersion="8" minRefreshableVersion="3" recordCount="45" xr:uid="{F2D2A2B6-44D9-4939-BB9D-D8E477C741D4}">
  <cacheSource type="worksheet">
    <worksheetSource ref="B2:L46" sheet="PORTAFOLIO"/>
  </cacheSource>
  <cacheFields count="10">
    <cacheField name="BROKER" numFmtId="0">
      <sharedItems containsBlank="1"/>
    </cacheField>
    <cacheField name="ACTIVO" numFmtId="0">
      <sharedItems containsBlank="1"/>
    </cacheField>
    <cacheField name="INDUSTRIA/SECTOR" numFmtId="0">
      <sharedItems containsBlank="1" count="13">
        <m/>
        <s v="INDUSTRIALES"/>
        <s v="ENERGIA"/>
        <s v="TECNOLOGIA"/>
        <s v="SALUD"/>
        <s v="MUNDIAL"/>
        <s v="IPSA"/>
        <s v="CONSUMO BASICO"/>
        <s v="CONSUMO DISCRECIONAL"/>
        <s v="MATERIALES"/>
        <s v="PUBLICO"/>
        <s v="SERVICIOS DE COMUNICACIÓN"/>
        <s v="FINANCIERA"/>
      </sharedItems>
    </cacheField>
    <cacheField name="TOTAL DE ACCIONES" numFmtId="0">
      <sharedItems containsNonDate="0" containsString="0" containsBlank="1"/>
    </cacheField>
    <cacheField name="PRECIO COMPRA" numFmtId="0">
      <sharedItems containsNonDate="0" containsString="0" containsBlank="1"/>
    </cacheField>
    <cacheField name="INVERSIÓN" numFmtId="0">
      <sharedItems containsString="0" containsBlank="1" containsNumber="1" containsInteger="1" minValue="0" maxValue="0"/>
    </cacheField>
    <cacheField name="PRECIO ACTUAL" numFmtId="0">
      <sharedItems containsNonDate="0" containsString="0" containsBlank="1"/>
    </cacheField>
    <cacheField name="VALOR ACTUAL" numFmtId="0">
      <sharedItems containsString="0" containsBlank="1" containsNumber="1" containsInteger="1" minValue="0" maxValue="0"/>
    </cacheField>
    <cacheField name="GANANCIA / PERDIDA" numFmtId="0">
      <sharedItems containsString="0" containsBlank="1" containsNumber="1" containsInteger="1" minValue="0" maxValue="0"/>
    </cacheField>
    <cacheField name="PESO % PORTAFOLI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m/>
    <m/>
    <x v="0"/>
    <m/>
    <m/>
    <m/>
    <m/>
    <m/>
    <m/>
    <m/>
  </r>
  <r>
    <s v="ZESTY"/>
    <s v="LTM"/>
    <x v="1"/>
    <m/>
    <m/>
    <n v="0"/>
    <m/>
    <n v="0"/>
    <n v="0"/>
    <n v="0"/>
  </r>
  <r>
    <s v="DVA"/>
    <s v="E- FUND"/>
    <x v="2"/>
    <m/>
    <m/>
    <n v="0"/>
    <m/>
    <n v="0"/>
    <n v="0"/>
    <n v="0"/>
  </r>
  <r>
    <m/>
    <s v="SILICON FUND"/>
    <x v="3"/>
    <m/>
    <m/>
    <n v="0"/>
    <m/>
    <n v="0"/>
    <n v="0"/>
    <n v="0"/>
  </r>
  <r>
    <m/>
    <s v="MEDTECH"/>
    <x v="4"/>
    <m/>
    <m/>
    <n v="0"/>
    <m/>
    <n v="0"/>
    <n v="0"/>
    <n v="0"/>
  </r>
  <r>
    <m/>
    <s v="MULTIAXIS"/>
    <x v="5"/>
    <m/>
    <m/>
    <n v="0"/>
    <m/>
    <n v="0"/>
    <n v="0"/>
    <n v="0"/>
  </r>
  <r>
    <m/>
    <s v="IPSA"/>
    <x v="6"/>
    <m/>
    <m/>
    <n v="0"/>
    <m/>
    <n v="0"/>
    <n v="0"/>
    <n v="0"/>
  </r>
  <r>
    <s v="RACIONAL"/>
    <s v="GOOGL"/>
    <x v="3"/>
    <m/>
    <m/>
    <n v="0"/>
    <m/>
    <n v="0"/>
    <n v="0"/>
    <n v="0"/>
  </r>
  <r>
    <m/>
    <s v="MSFT"/>
    <x v="3"/>
    <m/>
    <m/>
    <n v="0"/>
    <m/>
    <n v="0"/>
    <n v="0"/>
    <n v="0"/>
  </r>
  <r>
    <m/>
    <s v="MSTR"/>
    <x v="3"/>
    <m/>
    <m/>
    <n v="0"/>
    <m/>
    <n v="0"/>
    <n v="0"/>
    <n v="0"/>
  </r>
  <r>
    <m/>
    <s v="ASML"/>
    <x v="3"/>
    <m/>
    <m/>
    <n v="0"/>
    <m/>
    <n v="0"/>
    <n v="0"/>
    <n v="0"/>
  </r>
  <r>
    <m/>
    <s v="NVDA"/>
    <x v="3"/>
    <m/>
    <m/>
    <n v="0"/>
    <m/>
    <n v="0"/>
    <n v="0"/>
    <n v="0"/>
  </r>
  <r>
    <m/>
    <s v="AMD"/>
    <x v="3"/>
    <m/>
    <m/>
    <n v="0"/>
    <m/>
    <n v="0"/>
    <n v="0"/>
    <n v="0"/>
  </r>
  <r>
    <m/>
    <s v="PEP"/>
    <x v="7"/>
    <m/>
    <m/>
    <n v="0"/>
    <m/>
    <n v="0"/>
    <n v="0"/>
    <n v="0"/>
  </r>
  <r>
    <m/>
    <s v="NKE"/>
    <x v="8"/>
    <m/>
    <m/>
    <n v="0"/>
    <m/>
    <n v="0"/>
    <n v="0"/>
    <n v="0"/>
  </r>
  <r>
    <m/>
    <s v="SQM"/>
    <x v="9"/>
    <m/>
    <m/>
    <n v="0"/>
    <m/>
    <n v="0"/>
    <n v="0"/>
    <n v="0"/>
  </r>
  <r>
    <m/>
    <s v="MELI"/>
    <x v="8"/>
    <m/>
    <m/>
    <n v="0"/>
    <m/>
    <n v="0"/>
    <n v="0"/>
    <n v="0"/>
  </r>
  <r>
    <m/>
    <s v="ENIC"/>
    <x v="10"/>
    <m/>
    <m/>
    <n v="0"/>
    <m/>
    <n v="0"/>
    <n v="0"/>
    <n v="0"/>
  </r>
  <r>
    <m/>
    <s v="AMZN"/>
    <x v="8"/>
    <m/>
    <m/>
    <n v="0"/>
    <m/>
    <n v="0"/>
    <n v="0"/>
    <n v="0"/>
  </r>
  <r>
    <m/>
    <s v="META"/>
    <x v="11"/>
    <m/>
    <m/>
    <n v="0"/>
    <m/>
    <n v="0"/>
    <n v="0"/>
    <n v="0"/>
  </r>
  <r>
    <m/>
    <s v="AKO.B"/>
    <x v="7"/>
    <m/>
    <m/>
    <n v="0"/>
    <m/>
    <n v="0"/>
    <n v="0"/>
    <n v="0"/>
  </r>
  <r>
    <m/>
    <s v="BCH"/>
    <x v="12"/>
    <m/>
    <m/>
    <n v="0"/>
    <m/>
    <n v="0"/>
    <n v="0"/>
    <n v="0"/>
  </r>
  <r>
    <m/>
    <s v="PFE"/>
    <x v="4"/>
    <m/>
    <m/>
    <n v="0"/>
    <m/>
    <n v="0"/>
    <n v="0"/>
    <n v="0"/>
  </r>
  <r>
    <m/>
    <s v="NU"/>
    <x v="12"/>
    <m/>
    <m/>
    <n v="0"/>
    <m/>
    <n v="0"/>
    <n v="0"/>
    <n v="0"/>
  </r>
  <r>
    <m/>
    <s v="MMM"/>
    <x v="1"/>
    <m/>
    <m/>
    <n v="0"/>
    <m/>
    <n v="0"/>
    <n v="0"/>
    <n v="0"/>
  </r>
  <r>
    <m/>
    <s v="PLUG"/>
    <x v="1"/>
    <m/>
    <m/>
    <n v="0"/>
    <m/>
    <n v="0"/>
    <n v="0"/>
    <n v="0"/>
  </r>
  <r>
    <m/>
    <s v="VISA"/>
    <x v="12"/>
    <m/>
    <m/>
    <n v="0"/>
    <m/>
    <n v="0"/>
    <n v="0"/>
    <n v="0"/>
  </r>
  <r>
    <m/>
    <s v="AAPL"/>
    <x v="3"/>
    <m/>
    <m/>
    <n v="0"/>
    <m/>
    <n v="0"/>
    <n v="0"/>
    <n v="0"/>
  </r>
  <r>
    <m/>
    <s v="QBTS"/>
    <x v="3"/>
    <m/>
    <m/>
    <n v="0"/>
    <m/>
    <n v="0"/>
    <n v="0"/>
    <n v="0"/>
  </r>
  <r>
    <m/>
    <s v="QUBT"/>
    <x v="3"/>
    <m/>
    <m/>
    <n v="0"/>
    <m/>
    <n v="0"/>
    <n v="0"/>
    <n v="0"/>
  </r>
  <r>
    <m/>
    <s v="IFBD"/>
    <x v="3"/>
    <m/>
    <m/>
    <n v="0"/>
    <m/>
    <n v="0"/>
    <n v="0"/>
    <n v="0"/>
  </r>
  <r>
    <m/>
    <s v="PG"/>
    <x v="7"/>
    <m/>
    <m/>
    <n v="0"/>
    <m/>
    <n v="0"/>
    <n v="0"/>
    <n v="0"/>
  </r>
  <r>
    <m/>
    <s v="SOXL"/>
    <x v="3"/>
    <m/>
    <m/>
    <n v="0"/>
    <m/>
    <n v="0"/>
    <n v="0"/>
    <n v="0"/>
  </r>
  <r>
    <s v="FINTUAL"/>
    <s v="SQM"/>
    <x v="9"/>
    <m/>
    <m/>
    <n v="0"/>
    <m/>
    <n v="0"/>
    <n v="0"/>
    <n v="0"/>
  </r>
  <r>
    <m/>
    <s v="MSFT"/>
    <x v="3"/>
    <m/>
    <m/>
    <n v="0"/>
    <m/>
    <n v="0"/>
    <n v="0"/>
    <n v="0"/>
  </r>
  <r>
    <m/>
    <s v="NIKE"/>
    <x v="8"/>
    <m/>
    <m/>
    <n v="0"/>
    <m/>
    <n v="0"/>
    <n v="0"/>
    <n v="0"/>
  </r>
  <r>
    <m/>
    <s v="PEP"/>
    <x v="7"/>
    <m/>
    <m/>
    <n v="0"/>
    <m/>
    <n v="0"/>
    <n v="0"/>
    <n v="0"/>
  </r>
  <r>
    <m/>
    <s v="AMAZON"/>
    <x v="8"/>
    <m/>
    <m/>
    <n v="0"/>
    <m/>
    <n v="0"/>
    <n v="0"/>
    <n v="0"/>
  </r>
  <r>
    <m/>
    <s v="APPLE"/>
    <x v="3"/>
    <m/>
    <m/>
    <n v="0"/>
    <m/>
    <n v="0"/>
    <n v="0"/>
    <n v="0"/>
  </r>
  <r>
    <m/>
    <s v="TESLA"/>
    <x v="8"/>
    <m/>
    <m/>
    <n v="0"/>
    <m/>
    <n v="0"/>
    <n v="0"/>
    <n v="0"/>
  </r>
  <r>
    <m/>
    <s v="ADOBE"/>
    <x v="3"/>
    <m/>
    <m/>
    <n v="0"/>
    <m/>
    <n v="0"/>
    <n v="0"/>
    <n v="0"/>
  </r>
  <r>
    <m/>
    <s v="MELI"/>
    <x v="8"/>
    <m/>
    <m/>
    <n v="0"/>
    <m/>
    <n v="0"/>
    <n v="0"/>
    <n v="0"/>
  </r>
  <r>
    <m/>
    <s v="GOOGL"/>
    <x v="3"/>
    <m/>
    <m/>
    <n v="0"/>
    <m/>
    <n v="0"/>
    <n v="0"/>
    <n v="0"/>
  </r>
  <r>
    <s v="BINANCE"/>
    <m/>
    <x v="0"/>
    <m/>
    <m/>
    <n v="0"/>
    <m/>
    <n v="0"/>
    <n v="0"/>
    <n v="0"/>
  </r>
  <r>
    <m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4964D-C07F-451E-96A5-34B0725A911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10">
    <pivotField showAll="0"/>
    <pivotField showAll="0"/>
    <pivotField axis="axisRow" showAll="0">
      <items count="14">
        <item x="7"/>
        <item x="8"/>
        <item x="2"/>
        <item x="12"/>
        <item x="1"/>
        <item x="6"/>
        <item x="9"/>
        <item x="5"/>
        <item x="10"/>
        <item x="4"/>
        <item x="11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VALOR ACTUAL" fld="7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6-01-25T02:37:28.35" personId="{4028FFEC-B5A7-42A6-BB73-8233B82FB59B}" id="{843AD050-2B91-4D1D-B6F1-8B8DAE2A4F69}">
    <text xml:space="preserve">Atento que esta en CLP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5-06-02T16:40:03.84" personId="{4028FFEC-B5A7-42A6-BB73-8233B82FB59B}" id="{6307BF06-83A9-4AC7-A6B1-2E34A2C4BE74}">
    <text>Es el valor total de todas las acciones que tiene ese portafolio de inversión. Representa la suma de los valores actuales de todas las acciones en mi poseción</text>
  </threadedComment>
  <threadedComment ref="G2" dT="2025-06-02T16:40:46.38" personId="{4028FFEC-B5A7-42A6-BB73-8233B82FB59B}" id="{769BA439-FD11-4887-AE7D-D9758FDEB922}">
    <text>Ganancia/perdida global en mi portafolio.</text>
  </threadedComment>
  <threadedComment ref="H2" dT="2025-06-02T16:42:03.81" personId="{4028FFEC-B5A7-42A6-BB73-8233B82FB59B}" id="{3AA67EFD-322F-40F5-99CD-5B065DCAD194}">
    <text xml:space="preserve"> DIFERENCIA ENTRE EL TOTAL DE LAS ACCIONES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98A9-299B-49A4-A506-EDBD75EBE3F5}">
  <dimension ref="A3:F17"/>
  <sheetViews>
    <sheetView workbookViewId="0">
      <selection activeCell="F3" sqref="F3"/>
    </sheetView>
  </sheetViews>
  <sheetFormatPr baseColWidth="10" defaultRowHeight="14.5" x14ac:dyDescent="0.35"/>
  <cols>
    <col min="1" max="1" width="26.6328125" bestFit="1" customWidth="1"/>
    <col min="2" max="2" width="21.08984375" bestFit="1" customWidth="1"/>
  </cols>
  <sheetData>
    <row r="3" spans="1:6" x14ac:dyDescent="0.35">
      <c r="A3" s="11" t="s">
        <v>82</v>
      </c>
      <c r="B3" t="s">
        <v>85</v>
      </c>
      <c r="F3">
        <f>SUM(I:I)</f>
        <v>0</v>
      </c>
    </row>
    <row r="4" spans="1:6" x14ac:dyDescent="0.35">
      <c r="A4" s="12" t="s">
        <v>70</v>
      </c>
      <c r="B4" s="13" t="e">
        <v>#DIV/0!</v>
      </c>
    </row>
    <row r="5" spans="1:6" x14ac:dyDescent="0.35">
      <c r="A5" s="12" t="s">
        <v>75</v>
      </c>
      <c r="B5" s="13" t="e">
        <v>#DIV/0!</v>
      </c>
    </row>
    <row r="6" spans="1:6" x14ac:dyDescent="0.35">
      <c r="A6" s="12" t="s">
        <v>72</v>
      </c>
      <c r="B6" s="13" t="e">
        <v>#DIV/0!</v>
      </c>
    </row>
    <row r="7" spans="1:6" x14ac:dyDescent="0.35">
      <c r="A7" s="12" t="s">
        <v>80</v>
      </c>
      <c r="B7" s="13" t="e">
        <v>#DIV/0!</v>
      </c>
    </row>
    <row r="8" spans="1:6" x14ac:dyDescent="0.35">
      <c r="A8" s="12" t="s">
        <v>76</v>
      </c>
      <c r="B8" s="13" t="e">
        <v>#DIV/0!</v>
      </c>
    </row>
    <row r="9" spans="1:6" x14ac:dyDescent="0.35">
      <c r="A9" s="12" t="s">
        <v>18</v>
      </c>
      <c r="B9" s="13" t="e">
        <v>#DIV/0!</v>
      </c>
    </row>
    <row r="10" spans="1:6" x14ac:dyDescent="0.35">
      <c r="A10" s="12" t="s">
        <v>68</v>
      </c>
      <c r="B10" s="13" t="e">
        <v>#DIV/0!</v>
      </c>
    </row>
    <row r="11" spans="1:6" x14ac:dyDescent="0.35">
      <c r="A11" s="12" t="s">
        <v>71</v>
      </c>
      <c r="B11" s="13" t="e">
        <v>#DIV/0!</v>
      </c>
    </row>
    <row r="12" spans="1:6" x14ac:dyDescent="0.35">
      <c r="A12" s="12" t="s">
        <v>79</v>
      </c>
      <c r="B12" s="13" t="e">
        <v>#DIV/0!</v>
      </c>
    </row>
    <row r="13" spans="1:6" x14ac:dyDescent="0.35">
      <c r="A13" s="12" t="s">
        <v>73</v>
      </c>
      <c r="B13" s="13" t="e">
        <v>#DIV/0!</v>
      </c>
    </row>
    <row r="14" spans="1:6" x14ac:dyDescent="0.35">
      <c r="A14" s="12" t="s">
        <v>78</v>
      </c>
      <c r="B14" s="13" t="e">
        <v>#DIV/0!</v>
      </c>
    </row>
    <row r="15" spans="1:6" x14ac:dyDescent="0.35">
      <c r="A15" s="12" t="s">
        <v>69</v>
      </c>
      <c r="B15" s="13" t="e">
        <v>#DIV/0!</v>
      </c>
    </row>
    <row r="16" spans="1:6" x14ac:dyDescent="0.35">
      <c r="A16" s="12" t="s">
        <v>83</v>
      </c>
      <c r="B16" s="13" t="e">
        <v>#DIV/0!</v>
      </c>
    </row>
    <row r="17" spans="1:2" x14ac:dyDescent="0.35">
      <c r="A17" s="12" t="s">
        <v>84</v>
      </c>
      <c r="B17" s="13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F6E6-7BF5-4BEE-AFF1-19D3F32BEAA7}">
  <dimension ref="B1:P46"/>
  <sheetViews>
    <sheetView zoomScale="71" zoomScaleNormal="40" workbookViewId="0">
      <pane ySplit="870" activePane="bottomLeft"/>
      <selection activeCell="B2" sqref="B2:L3"/>
      <selection pane="bottomLeft" activeCell="C2" sqref="C2:L3"/>
    </sheetView>
  </sheetViews>
  <sheetFormatPr baseColWidth="10" defaultRowHeight="14.5" x14ac:dyDescent="0.35"/>
  <cols>
    <col min="1" max="1" width="10.90625" style="1"/>
    <col min="2" max="2" width="10.54296875" style="1" bestFit="1" customWidth="1"/>
    <col min="3" max="3" width="13.08984375" style="1" bestFit="1" customWidth="1"/>
    <col min="4" max="4" width="19.1796875" style="1" bestFit="1" customWidth="1"/>
    <col min="5" max="5" width="19.1796875" style="1" customWidth="1"/>
    <col min="6" max="6" width="11.90625" style="1" customWidth="1"/>
    <col min="7" max="7" width="13.453125" style="17" customWidth="1"/>
    <col min="8" max="8" width="11.1796875" style="1" bestFit="1" customWidth="1"/>
    <col min="9" max="9" width="10.6328125" style="1" customWidth="1"/>
    <col min="10" max="10" width="9.453125" style="1" customWidth="1"/>
    <col min="11" max="11" width="12" style="1" customWidth="1"/>
    <col min="12" max="12" width="12.7265625" style="1" bestFit="1" customWidth="1"/>
    <col min="13" max="16384" width="10.90625" style="1"/>
  </cols>
  <sheetData>
    <row r="1" spans="2:16" x14ac:dyDescent="0.35">
      <c r="G1" s="1"/>
    </row>
    <row r="2" spans="2:16" ht="32" customHeight="1" x14ac:dyDescent="0.35">
      <c r="B2" s="20" t="s">
        <v>11</v>
      </c>
      <c r="C2" s="20" t="s">
        <v>37</v>
      </c>
      <c r="D2" s="20" t="s">
        <v>77</v>
      </c>
      <c r="E2" s="21" t="s">
        <v>88</v>
      </c>
      <c r="F2" s="20" t="s">
        <v>87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0" t="s">
        <v>43</v>
      </c>
    </row>
    <row r="3" spans="2:16" ht="16" customHeight="1" x14ac:dyDescent="0.35">
      <c r="B3" s="20"/>
      <c r="C3" s="20"/>
      <c r="D3" s="20"/>
      <c r="E3" s="22"/>
      <c r="F3" s="20"/>
      <c r="G3" s="22"/>
      <c r="H3" s="22"/>
      <c r="I3" s="22"/>
      <c r="J3" s="22"/>
      <c r="K3" s="22"/>
      <c r="L3" s="20"/>
    </row>
    <row r="4" spans="2:16" ht="16" x14ac:dyDescent="0.35">
      <c r="B4" s="10" t="s">
        <v>19</v>
      </c>
      <c r="C4" s="2" t="s">
        <v>14</v>
      </c>
      <c r="D4" s="2" t="s">
        <v>76</v>
      </c>
      <c r="E4" s="2"/>
      <c r="F4" s="2">
        <v>5167</v>
      </c>
      <c r="G4" s="16">
        <v>565.14</v>
      </c>
      <c r="H4" s="3">
        <f>F4*G4</f>
        <v>2920078.38</v>
      </c>
      <c r="I4" s="14">
        <v>24.5</v>
      </c>
      <c r="J4" s="3">
        <f>F4*I4</f>
        <v>126591.5</v>
      </c>
      <c r="K4" s="9">
        <f ca="1">IF(H4=0,0,K4/H4)</f>
        <v>0</v>
      </c>
      <c r="L4" s="18">
        <f t="shared" ref="L4:L46" si="0">IF(SUM($J$4:$J$199)=0,0,J4/SUM($J$4:$J$199))</f>
        <v>0.5</v>
      </c>
      <c r="O4" s="1" t="s">
        <v>89</v>
      </c>
      <c r="P4" s="1" t="s">
        <v>90</v>
      </c>
    </row>
    <row r="5" spans="2:16" ht="14.5" customHeight="1" x14ac:dyDescent="0.35">
      <c r="B5" s="20" t="s">
        <v>1</v>
      </c>
      <c r="C5" s="2" t="s">
        <v>15</v>
      </c>
      <c r="D5" s="2" t="s">
        <v>72</v>
      </c>
      <c r="E5" s="2"/>
      <c r="F5" s="2"/>
      <c r="G5" s="16"/>
      <c r="H5" s="3">
        <f t="shared" ref="H5:H45" si="1">F5*G5</f>
        <v>0</v>
      </c>
      <c r="I5" s="14"/>
      <c r="J5" s="3">
        <f>F5*I5</f>
        <v>0</v>
      </c>
      <c r="K5" s="9">
        <f t="shared" ref="K5:K45" si="2">IF(H5=0,0,K5/H5)</f>
        <v>0</v>
      </c>
      <c r="L5" s="18">
        <f t="shared" si="0"/>
        <v>0</v>
      </c>
      <c r="O5" s="1" t="s">
        <v>91</v>
      </c>
      <c r="P5" s="1">
        <v>1</v>
      </c>
    </row>
    <row r="6" spans="2:16" ht="14.5" customHeight="1" x14ac:dyDescent="0.35">
      <c r="B6" s="20"/>
      <c r="C6" s="2" t="s">
        <v>16</v>
      </c>
      <c r="D6" s="2" t="s">
        <v>69</v>
      </c>
      <c r="E6" s="2"/>
      <c r="F6" s="2"/>
      <c r="G6" s="16"/>
      <c r="H6" s="3">
        <f t="shared" si="1"/>
        <v>0</v>
      </c>
      <c r="I6" s="14"/>
      <c r="J6" s="3">
        <f t="shared" ref="J6:J45" si="3">F6*I6</f>
        <v>0</v>
      </c>
      <c r="K6" s="9">
        <f t="shared" si="2"/>
        <v>0</v>
      </c>
      <c r="L6" s="18">
        <f t="shared" si="0"/>
        <v>0</v>
      </c>
      <c r="O6" s="1" t="s">
        <v>92</v>
      </c>
      <c r="P6" s="1">
        <v>1.1000000000000001E-3</v>
      </c>
    </row>
    <row r="7" spans="2:16" ht="14.5" customHeight="1" x14ac:dyDescent="0.35">
      <c r="B7" s="20"/>
      <c r="C7" s="2" t="s">
        <v>21</v>
      </c>
      <c r="D7" s="2" t="s">
        <v>73</v>
      </c>
      <c r="E7" s="2"/>
      <c r="F7" s="2"/>
      <c r="G7" s="16"/>
      <c r="H7" s="3">
        <f t="shared" si="1"/>
        <v>0</v>
      </c>
      <c r="I7" s="14"/>
      <c r="J7" s="3">
        <f t="shared" si="3"/>
        <v>0</v>
      </c>
      <c r="K7" s="9">
        <f t="shared" si="2"/>
        <v>0</v>
      </c>
      <c r="L7" s="18">
        <f t="shared" si="0"/>
        <v>0</v>
      </c>
    </row>
    <row r="8" spans="2:16" ht="14.5" customHeight="1" x14ac:dyDescent="0.35">
      <c r="B8" s="20"/>
      <c r="C8" s="2" t="s">
        <v>20</v>
      </c>
      <c r="D8" s="2" t="s">
        <v>71</v>
      </c>
      <c r="E8" s="2"/>
      <c r="F8" s="2"/>
      <c r="G8" s="16"/>
      <c r="H8" s="3">
        <f t="shared" si="1"/>
        <v>0</v>
      </c>
      <c r="I8" s="14"/>
      <c r="J8" s="3">
        <f t="shared" si="3"/>
        <v>0</v>
      </c>
      <c r="K8" s="9">
        <f t="shared" si="2"/>
        <v>0</v>
      </c>
      <c r="L8" s="18">
        <f t="shared" si="0"/>
        <v>0</v>
      </c>
    </row>
    <row r="9" spans="2:16" ht="14.5" customHeight="1" x14ac:dyDescent="0.35">
      <c r="B9" s="20"/>
      <c r="C9" s="2" t="s">
        <v>18</v>
      </c>
      <c r="D9" s="2" t="s">
        <v>18</v>
      </c>
      <c r="E9" s="2"/>
      <c r="F9" s="2"/>
      <c r="G9" s="16"/>
      <c r="H9" s="3">
        <f t="shared" si="1"/>
        <v>0</v>
      </c>
      <c r="I9" s="14"/>
      <c r="J9" s="3">
        <f t="shared" si="3"/>
        <v>0</v>
      </c>
      <c r="K9" s="9">
        <f t="shared" si="2"/>
        <v>0</v>
      </c>
      <c r="L9" s="18">
        <f t="shared" si="0"/>
        <v>0</v>
      </c>
    </row>
    <row r="10" spans="2:16" x14ac:dyDescent="0.35">
      <c r="B10" s="20" t="s">
        <v>2</v>
      </c>
      <c r="C10" s="2" t="s">
        <v>45</v>
      </c>
      <c r="D10" s="2" t="s">
        <v>69</v>
      </c>
      <c r="E10" s="2"/>
      <c r="F10" s="2"/>
      <c r="G10" s="16"/>
      <c r="H10" s="3">
        <f t="shared" si="1"/>
        <v>0</v>
      </c>
      <c r="I10" s="14"/>
      <c r="J10" s="3">
        <f t="shared" si="3"/>
        <v>0</v>
      </c>
      <c r="K10" s="9">
        <f t="shared" si="2"/>
        <v>0</v>
      </c>
      <c r="L10" s="18">
        <f t="shared" si="0"/>
        <v>0</v>
      </c>
    </row>
    <row r="11" spans="2:16" x14ac:dyDescent="0.35">
      <c r="B11" s="20"/>
      <c r="C11" s="2" t="s">
        <v>27</v>
      </c>
      <c r="D11" s="2" t="s">
        <v>69</v>
      </c>
      <c r="E11" s="2"/>
      <c r="F11" s="2">
        <v>0.35399999999999998</v>
      </c>
      <c r="G11" s="16">
        <v>373.52</v>
      </c>
      <c r="H11" s="3">
        <f>F11*G11</f>
        <v>132.22608</v>
      </c>
      <c r="I11" s="14"/>
      <c r="J11" s="3">
        <f t="shared" si="3"/>
        <v>0</v>
      </c>
      <c r="K11" s="9">
        <f t="shared" ca="1" si="2"/>
        <v>0</v>
      </c>
      <c r="L11" s="18">
        <f t="shared" si="0"/>
        <v>0</v>
      </c>
    </row>
    <row r="12" spans="2:16" x14ac:dyDescent="0.35">
      <c r="B12" s="20"/>
      <c r="C12" s="2" t="s">
        <v>46</v>
      </c>
      <c r="D12" s="2" t="s">
        <v>69</v>
      </c>
      <c r="E12" s="2"/>
      <c r="F12" s="2">
        <v>0.95089999999999997</v>
      </c>
      <c r="G12" s="16">
        <v>234.23</v>
      </c>
      <c r="H12" s="3">
        <f t="shared" si="1"/>
        <v>222.72930699999998</v>
      </c>
      <c r="I12" s="14"/>
      <c r="J12" s="3">
        <f t="shared" si="3"/>
        <v>0</v>
      </c>
      <c r="K12" s="9">
        <f t="shared" ca="1" si="2"/>
        <v>0</v>
      </c>
      <c r="L12" s="18">
        <f t="shared" si="0"/>
        <v>0</v>
      </c>
    </row>
    <row r="13" spans="2:16" x14ac:dyDescent="0.35">
      <c r="B13" s="20"/>
      <c r="C13" s="2" t="s">
        <v>47</v>
      </c>
      <c r="D13" s="2" t="s">
        <v>69</v>
      </c>
      <c r="E13" s="2"/>
      <c r="F13" s="2"/>
      <c r="G13" s="16"/>
      <c r="H13" s="3">
        <f t="shared" si="1"/>
        <v>0</v>
      </c>
      <c r="I13" s="14"/>
      <c r="J13" s="3">
        <f t="shared" si="3"/>
        <v>0</v>
      </c>
      <c r="K13" s="9">
        <f t="shared" si="2"/>
        <v>0</v>
      </c>
      <c r="L13" s="18">
        <f t="shared" si="0"/>
        <v>0</v>
      </c>
    </row>
    <row r="14" spans="2:16" x14ac:dyDescent="0.35">
      <c r="B14" s="20"/>
      <c r="C14" s="2" t="s">
        <v>48</v>
      </c>
      <c r="D14" s="2" t="s">
        <v>69</v>
      </c>
      <c r="E14" s="2"/>
      <c r="F14" s="2">
        <v>0.67712000000000006</v>
      </c>
      <c r="G14" s="16">
        <v>100.85</v>
      </c>
      <c r="H14" s="3">
        <f t="shared" si="1"/>
        <v>68.287552000000005</v>
      </c>
      <c r="I14" s="14"/>
      <c r="J14" s="3">
        <f t="shared" si="3"/>
        <v>0</v>
      </c>
      <c r="K14" s="9">
        <f t="shared" ca="1" si="2"/>
        <v>0</v>
      </c>
      <c r="L14" s="18">
        <f t="shared" si="0"/>
        <v>0</v>
      </c>
    </row>
    <row r="15" spans="2:16" x14ac:dyDescent="0.35">
      <c r="B15" s="20"/>
      <c r="C15" s="2" t="s">
        <v>49</v>
      </c>
      <c r="D15" s="2" t="s">
        <v>69</v>
      </c>
      <c r="E15" s="2"/>
      <c r="F15" s="2">
        <v>0.54500000000000004</v>
      </c>
      <c r="G15" s="16">
        <v>114.04</v>
      </c>
      <c r="H15" s="3">
        <f t="shared" si="1"/>
        <v>62.151800000000009</v>
      </c>
      <c r="I15" s="14"/>
      <c r="J15" s="3">
        <f t="shared" si="3"/>
        <v>0</v>
      </c>
      <c r="K15" s="9">
        <f t="shared" ca="1" si="2"/>
        <v>0</v>
      </c>
      <c r="L15" s="18">
        <f t="shared" si="0"/>
        <v>0</v>
      </c>
    </row>
    <row r="16" spans="2:16" x14ac:dyDescent="0.35">
      <c r="B16" s="20"/>
      <c r="C16" s="2" t="s">
        <v>50</v>
      </c>
      <c r="D16" s="2" t="s">
        <v>70</v>
      </c>
      <c r="E16" s="2"/>
      <c r="F16" s="2">
        <v>0.89880000000000004</v>
      </c>
      <c r="G16" s="16">
        <v>144.87</v>
      </c>
      <c r="H16" s="3">
        <f t="shared" si="1"/>
        <v>130.20915600000001</v>
      </c>
      <c r="I16" s="14"/>
      <c r="J16" s="3">
        <f t="shared" si="3"/>
        <v>0</v>
      </c>
      <c r="K16" s="9">
        <f t="shared" ca="1" si="2"/>
        <v>0</v>
      </c>
      <c r="L16" s="18">
        <f t="shared" si="0"/>
        <v>0</v>
      </c>
    </row>
    <row r="17" spans="2:12" ht="29" x14ac:dyDescent="0.35">
      <c r="B17" s="20"/>
      <c r="C17" s="2" t="s">
        <v>51</v>
      </c>
      <c r="D17" s="2" t="s">
        <v>75</v>
      </c>
      <c r="E17" s="2"/>
      <c r="F17" s="2">
        <v>1.1299999999999999</v>
      </c>
      <c r="G17" s="16">
        <v>75.22</v>
      </c>
      <c r="H17" s="3">
        <f t="shared" si="1"/>
        <v>84.998599999999996</v>
      </c>
      <c r="I17" s="14"/>
      <c r="J17" s="3">
        <f t="shared" si="3"/>
        <v>0</v>
      </c>
      <c r="K17" s="9">
        <f t="shared" ca="1" si="2"/>
        <v>0</v>
      </c>
      <c r="L17" s="18">
        <f t="shared" si="0"/>
        <v>0</v>
      </c>
    </row>
    <row r="18" spans="2:12" ht="29" x14ac:dyDescent="0.35">
      <c r="B18" s="20"/>
      <c r="C18" s="2" t="s">
        <v>52</v>
      </c>
      <c r="D18" s="2" t="s">
        <v>75</v>
      </c>
      <c r="E18" s="2"/>
      <c r="F18" s="2">
        <v>3.4860000000000002E-2</v>
      </c>
      <c r="G18" s="16">
        <v>1434</v>
      </c>
      <c r="H18" s="3">
        <f t="shared" si="1"/>
        <v>49.989240000000002</v>
      </c>
      <c r="I18" s="14"/>
      <c r="J18" s="3">
        <f t="shared" si="3"/>
        <v>0</v>
      </c>
      <c r="K18" s="9">
        <f t="shared" ca="1" si="2"/>
        <v>0</v>
      </c>
      <c r="L18" s="18">
        <f t="shared" si="0"/>
        <v>0</v>
      </c>
    </row>
    <row r="19" spans="2:12" x14ac:dyDescent="0.35">
      <c r="B19" s="20"/>
      <c r="C19" s="2" t="s">
        <v>53</v>
      </c>
      <c r="D19" s="2" t="s">
        <v>79</v>
      </c>
      <c r="E19" s="2"/>
      <c r="F19" s="2">
        <v>16.559999999999999</v>
      </c>
      <c r="G19" s="16">
        <v>2.81</v>
      </c>
      <c r="H19" s="3">
        <f t="shared" si="1"/>
        <v>46.5336</v>
      </c>
      <c r="I19" s="14"/>
      <c r="J19" s="3">
        <f t="shared" si="3"/>
        <v>0</v>
      </c>
      <c r="K19" s="9">
        <f t="shared" ca="1" si="2"/>
        <v>0</v>
      </c>
      <c r="L19" s="18">
        <f t="shared" si="0"/>
        <v>0</v>
      </c>
    </row>
    <row r="20" spans="2:12" ht="29" x14ac:dyDescent="0.35">
      <c r="B20" s="20"/>
      <c r="C20" s="2" t="s">
        <v>55</v>
      </c>
      <c r="D20" s="2" t="s">
        <v>75</v>
      </c>
      <c r="E20" s="2"/>
      <c r="F20" s="2">
        <v>0.21065</v>
      </c>
      <c r="G20" s="16">
        <v>166.15</v>
      </c>
      <c r="H20" s="3">
        <f t="shared" si="1"/>
        <v>34.999497500000004</v>
      </c>
      <c r="I20" s="14"/>
      <c r="J20" s="3">
        <f t="shared" si="3"/>
        <v>0</v>
      </c>
      <c r="K20" s="9">
        <f t="shared" ca="1" si="2"/>
        <v>0</v>
      </c>
      <c r="L20" s="18">
        <f t="shared" si="0"/>
        <v>0</v>
      </c>
    </row>
    <row r="21" spans="2:12" ht="29" x14ac:dyDescent="0.35">
      <c r="B21" s="20"/>
      <c r="C21" s="2" t="s">
        <v>56</v>
      </c>
      <c r="D21" s="2" t="s">
        <v>78</v>
      </c>
      <c r="E21" s="2"/>
      <c r="F21" s="2">
        <v>7.2400000000000006E-2</v>
      </c>
      <c r="G21" s="16">
        <v>472.91</v>
      </c>
      <c r="H21" s="3">
        <f t="shared" si="1"/>
        <v>34.238684000000006</v>
      </c>
      <c r="I21" s="14"/>
      <c r="J21" s="3">
        <f t="shared" si="3"/>
        <v>0</v>
      </c>
      <c r="K21" s="9">
        <f t="shared" ca="1" si="2"/>
        <v>0</v>
      </c>
      <c r="L21" s="18">
        <f t="shared" si="0"/>
        <v>0</v>
      </c>
    </row>
    <row r="22" spans="2:12" x14ac:dyDescent="0.35">
      <c r="B22" s="20"/>
      <c r="C22" s="2" t="s">
        <v>57</v>
      </c>
      <c r="D22" s="2" t="s">
        <v>70</v>
      </c>
      <c r="E22" s="2"/>
      <c r="F22" s="2">
        <v>1.4590000000000001</v>
      </c>
      <c r="G22" s="16">
        <v>13.7</v>
      </c>
      <c r="H22" s="3">
        <f t="shared" si="1"/>
        <v>19.988299999999999</v>
      </c>
      <c r="I22" s="14"/>
      <c r="J22" s="3">
        <f t="shared" si="3"/>
        <v>0</v>
      </c>
      <c r="K22" s="9">
        <f t="shared" ca="1" si="2"/>
        <v>0</v>
      </c>
      <c r="L22" s="18">
        <f t="shared" si="0"/>
        <v>0</v>
      </c>
    </row>
    <row r="23" spans="2:12" x14ac:dyDescent="0.35">
      <c r="B23" s="20"/>
      <c r="C23" s="2" t="s">
        <v>58</v>
      </c>
      <c r="D23" s="2" t="s">
        <v>80</v>
      </c>
      <c r="E23" s="2"/>
      <c r="F23" s="2">
        <v>0.99</v>
      </c>
      <c r="G23" s="16">
        <v>20.190000000000001</v>
      </c>
      <c r="H23" s="3">
        <f t="shared" si="1"/>
        <v>19.988099999999999</v>
      </c>
      <c r="I23" s="14"/>
      <c r="J23" s="3">
        <f t="shared" si="3"/>
        <v>0</v>
      </c>
      <c r="K23" s="9">
        <f t="shared" ca="1" si="2"/>
        <v>0</v>
      </c>
      <c r="L23" s="18">
        <f t="shared" si="0"/>
        <v>0</v>
      </c>
    </row>
    <row r="24" spans="2:12" x14ac:dyDescent="0.35">
      <c r="B24" s="20"/>
      <c r="C24" s="2" t="s">
        <v>59</v>
      </c>
      <c r="D24" s="2" t="s">
        <v>73</v>
      </c>
      <c r="E24" s="2"/>
      <c r="F24" s="2">
        <v>1.3546</v>
      </c>
      <c r="G24" s="16">
        <v>25.15</v>
      </c>
      <c r="H24" s="3">
        <f t="shared" si="1"/>
        <v>34.068190000000001</v>
      </c>
      <c r="I24" s="14"/>
      <c r="J24" s="3">
        <f t="shared" si="3"/>
        <v>0</v>
      </c>
      <c r="K24" s="9">
        <f t="shared" ca="1" si="2"/>
        <v>0</v>
      </c>
      <c r="L24" s="18">
        <f t="shared" si="0"/>
        <v>0</v>
      </c>
    </row>
    <row r="25" spans="2:12" x14ac:dyDescent="0.35">
      <c r="B25" s="20"/>
      <c r="C25" s="2" t="s">
        <v>81</v>
      </c>
      <c r="D25" s="2" t="s">
        <v>80</v>
      </c>
      <c r="E25" s="2"/>
      <c r="F25" s="2">
        <v>2.0095999999999998</v>
      </c>
      <c r="G25" s="16">
        <v>12.44</v>
      </c>
      <c r="H25" s="3">
        <f t="shared" si="1"/>
        <v>24.999423999999998</v>
      </c>
      <c r="I25" s="14"/>
      <c r="J25" s="3">
        <f t="shared" si="3"/>
        <v>0</v>
      </c>
      <c r="K25" s="9">
        <f t="shared" ca="1" si="2"/>
        <v>0</v>
      </c>
      <c r="L25" s="18">
        <f t="shared" si="0"/>
        <v>0</v>
      </c>
    </row>
    <row r="26" spans="2:12" x14ac:dyDescent="0.35">
      <c r="B26" s="20"/>
      <c r="C26" s="2" t="s">
        <v>60</v>
      </c>
      <c r="D26" s="2" t="s">
        <v>76</v>
      </c>
      <c r="E26" s="2"/>
      <c r="F26" s="2">
        <v>0.1089</v>
      </c>
      <c r="G26" s="16">
        <v>76.739999999999995</v>
      </c>
      <c r="H26" s="3">
        <f t="shared" si="1"/>
        <v>8.3569859999999991</v>
      </c>
      <c r="I26" s="14"/>
      <c r="J26" s="3">
        <f t="shared" si="3"/>
        <v>0</v>
      </c>
      <c r="K26" s="9">
        <f t="shared" ca="1" si="2"/>
        <v>0</v>
      </c>
      <c r="L26" s="18">
        <f t="shared" si="0"/>
        <v>0</v>
      </c>
    </row>
    <row r="27" spans="2:12" x14ac:dyDescent="0.35">
      <c r="B27" s="20"/>
      <c r="C27" s="2" t="s">
        <v>61</v>
      </c>
      <c r="D27" s="2" t="s">
        <v>76</v>
      </c>
      <c r="E27" s="2"/>
      <c r="F27" s="2">
        <v>7.7628000000000004</v>
      </c>
      <c r="G27" s="16">
        <v>2.09</v>
      </c>
      <c r="H27" s="3">
        <f t="shared" si="1"/>
        <v>16.224252</v>
      </c>
      <c r="I27" s="14"/>
      <c r="J27" s="3">
        <f t="shared" si="3"/>
        <v>0</v>
      </c>
      <c r="K27" s="9">
        <f t="shared" ca="1" si="2"/>
        <v>0</v>
      </c>
      <c r="L27" s="18">
        <f t="shared" si="0"/>
        <v>0</v>
      </c>
    </row>
    <row r="28" spans="2:12" x14ac:dyDescent="0.35">
      <c r="B28" s="20"/>
      <c r="C28" s="2" t="s">
        <v>62</v>
      </c>
      <c r="D28" s="2" t="s">
        <v>80</v>
      </c>
      <c r="E28" s="2"/>
      <c r="F28" s="2">
        <v>0.6542</v>
      </c>
      <c r="G28" s="16">
        <v>275.13</v>
      </c>
      <c r="H28" s="3">
        <f t="shared" si="1"/>
        <v>179.99004600000001</v>
      </c>
      <c r="I28" s="14"/>
      <c r="J28" s="3">
        <f t="shared" si="3"/>
        <v>0</v>
      </c>
      <c r="K28" s="9">
        <f t="shared" ca="1" si="2"/>
        <v>0</v>
      </c>
      <c r="L28" s="18">
        <f t="shared" si="0"/>
        <v>0</v>
      </c>
    </row>
    <row r="29" spans="2:12" x14ac:dyDescent="0.35">
      <c r="B29" s="20"/>
      <c r="C29" s="2" t="s">
        <v>64</v>
      </c>
      <c r="D29" s="2" t="s">
        <v>69</v>
      </c>
      <c r="E29" s="2"/>
      <c r="F29" s="2">
        <v>5.0599999999999999E-2</v>
      </c>
      <c r="G29" s="16">
        <v>173.6</v>
      </c>
      <c r="H29" s="3">
        <f t="shared" si="1"/>
        <v>8.78416</v>
      </c>
      <c r="I29" s="14"/>
      <c r="J29" s="3">
        <f t="shared" si="3"/>
        <v>0</v>
      </c>
      <c r="K29" s="9">
        <f t="shared" ca="1" si="2"/>
        <v>0</v>
      </c>
      <c r="L29" s="18">
        <f t="shared" si="0"/>
        <v>0</v>
      </c>
    </row>
    <row r="30" spans="2:12" x14ac:dyDescent="0.35">
      <c r="B30" s="20"/>
      <c r="C30" s="2" t="s">
        <v>65</v>
      </c>
      <c r="D30" s="2" t="s">
        <v>69</v>
      </c>
      <c r="E30" s="2"/>
      <c r="F30" s="2">
        <v>0.22539999999999999</v>
      </c>
      <c r="G30" s="16">
        <v>22.27</v>
      </c>
      <c r="H30" s="3">
        <f t="shared" si="1"/>
        <v>5.0196579999999997</v>
      </c>
      <c r="I30" s="14"/>
      <c r="J30" s="3">
        <f t="shared" si="3"/>
        <v>0</v>
      </c>
      <c r="K30" s="9">
        <f t="shared" ca="1" si="2"/>
        <v>0</v>
      </c>
      <c r="L30" s="18">
        <f t="shared" si="0"/>
        <v>0</v>
      </c>
    </row>
    <row r="31" spans="2:12" x14ac:dyDescent="0.35">
      <c r="B31" s="20"/>
      <c r="C31" s="2" t="s">
        <v>67</v>
      </c>
      <c r="D31" s="2" t="s">
        <v>69</v>
      </c>
      <c r="E31" s="2"/>
      <c r="F31" s="2">
        <v>1.2629999999999999</v>
      </c>
      <c r="G31" s="16">
        <v>13.06</v>
      </c>
      <c r="H31" s="3">
        <f t="shared" si="1"/>
        <v>16.494779999999999</v>
      </c>
      <c r="I31" s="14"/>
      <c r="J31" s="3">
        <f t="shared" si="3"/>
        <v>0</v>
      </c>
      <c r="K31" s="9">
        <f t="shared" ca="1" si="2"/>
        <v>0</v>
      </c>
      <c r="L31" s="18">
        <f t="shared" si="0"/>
        <v>0</v>
      </c>
    </row>
    <row r="32" spans="2:12" x14ac:dyDescent="0.35">
      <c r="B32" s="20"/>
      <c r="C32" s="2" t="s">
        <v>66</v>
      </c>
      <c r="D32" s="2" t="s">
        <v>69</v>
      </c>
      <c r="E32" s="2"/>
      <c r="F32" s="2">
        <v>6.3512000000000004</v>
      </c>
      <c r="G32" s="16">
        <v>2.36</v>
      </c>
      <c r="H32" s="3">
        <f t="shared" si="1"/>
        <v>14.988832</v>
      </c>
      <c r="I32" s="14"/>
      <c r="J32" s="3">
        <f t="shared" si="3"/>
        <v>0</v>
      </c>
      <c r="K32" s="9">
        <f t="shared" ca="1" si="2"/>
        <v>0</v>
      </c>
      <c r="L32" s="18">
        <f t="shared" si="0"/>
        <v>0</v>
      </c>
    </row>
    <row r="33" spans="2:12" x14ac:dyDescent="0.35">
      <c r="B33" s="20"/>
      <c r="C33" s="2" t="s">
        <v>63</v>
      </c>
      <c r="D33" s="2" t="s">
        <v>70</v>
      </c>
      <c r="E33" s="2"/>
      <c r="F33" s="2">
        <v>0.1739</v>
      </c>
      <c r="G33" s="16">
        <v>146.97</v>
      </c>
      <c r="H33" s="3">
        <f t="shared" si="1"/>
        <v>25.558083</v>
      </c>
      <c r="I33" s="14"/>
      <c r="J33" s="3">
        <f t="shared" si="3"/>
        <v>0</v>
      </c>
      <c r="K33" s="9">
        <f t="shared" ca="1" si="2"/>
        <v>0</v>
      </c>
      <c r="L33" s="18">
        <f t="shared" si="0"/>
        <v>0</v>
      </c>
    </row>
    <row r="34" spans="2:12" x14ac:dyDescent="0.35">
      <c r="B34" s="20"/>
      <c r="C34" s="2" t="s">
        <v>54</v>
      </c>
      <c r="D34" s="2" t="s">
        <v>69</v>
      </c>
      <c r="E34" s="2"/>
      <c r="F34" s="2">
        <v>1.1003000000000001</v>
      </c>
      <c r="G34" s="16">
        <v>21.1</v>
      </c>
      <c r="H34" s="3">
        <f t="shared" si="1"/>
        <v>23.216330000000003</v>
      </c>
      <c r="I34" s="14"/>
      <c r="J34" s="3">
        <f t="shared" si="3"/>
        <v>0</v>
      </c>
      <c r="K34" s="9">
        <f t="shared" ca="1" si="2"/>
        <v>0</v>
      </c>
      <c r="L34" s="18">
        <f t="shared" si="0"/>
        <v>0</v>
      </c>
    </row>
    <row r="35" spans="2:12" x14ac:dyDescent="0.35">
      <c r="B35" s="20" t="s">
        <v>74</v>
      </c>
      <c r="C35" s="2" t="s">
        <v>24</v>
      </c>
      <c r="D35" s="2" t="s">
        <v>68</v>
      </c>
      <c r="E35" s="2"/>
      <c r="F35" s="2">
        <v>3</v>
      </c>
      <c r="G35" s="16">
        <v>47.63</v>
      </c>
      <c r="H35" s="3">
        <f t="shared" si="1"/>
        <v>142.89000000000001</v>
      </c>
      <c r="I35" s="14"/>
      <c r="J35" s="3">
        <f t="shared" si="3"/>
        <v>0</v>
      </c>
      <c r="K35" s="9">
        <f t="shared" ca="1" si="2"/>
        <v>0</v>
      </c>
      <c r="L35" s="18">
        <f t="shared" si="0"/>
        <v>0</v>
      </c>
    </row>
    <row r="36" spans="2:12" x14ac:dyDescent="0.35">
      <c r="B36" s="20"/>
      <c r="C36" s="2" t="s">
        <v>27</v>
      </c>
      <c r="D36" s="2" t="s">
        <v>69</v>
      </c>
      <c r="E36" s="2"/>
      <c r="F36" s="2">
        <v>0.31390000000000001</v>
      </c>
      <c r="G36" s="16">
        <v>378.17</v>
      </c>
      <c r="H36" s="3">
        <f t="shared" si="1"/>
        <v>118.70756300000001</v>
      </c>
      <c r="I36" s="14"/>
      <c r="J36" s="3">
        <f t="shared" si="3"/>
        <v>0</v>
      </c>
      <c r="K36" s="9">
        <f t="shared" ca="1" si="2"/>
        <v>0</v>
      </c>
      <c r="L36" s="18">
        <f t="shared" si="0"/>
        <v>0</v>
      </c>
    </row>
    <row r="37" spans="2:12" ht="29" x14ac:dyDescent="0.35">
      <c r="B37" s="20"/>
      <c r="C37" s="2" t="s">
        <v>28</v>
      </c>
      <c r="D37" s="2" t="s">
        <v>75</v>
      </c>
      <c r="E37" s="2"/>
      <c r="F37" s="2">
        <v>1.4031</v>
      </c>
      <c r="G37" s="16">
        <v>91.06</v>
      </c>
      <c r="H37" s="3">
        <f t="shared" si="1"/>
        <v>127.76628600000001</v>
      </c>
      <c r="I37" s="14"/>
      <c r="J37" s="3">
        <f t="shared" si="3"/>
        <v>0</v>
      </c>
      <c r="K37" s="9">
        <f t="shared" ca="1" si="2"/>
        <v>0</v>
      </c>
      <c r="L37" s="18">
        <f t="shared" si="0"/>
        <v>0</v>
      </c>
    </row>
    <row r="38" spans="2:12" x14ac:dyDescent="0.35">
      <c r="B38" s="20"/>
      <c r="C38" s="2" t="s">
        <v>50</v>
      </c>
      <c r="D38" s="2" t="s">
        <v>70</v>
      </c>
      <c r="E38" s="2"/>
      <c r="F38" s="2">
        <v>0.5927</v>
      </c>
      <c r="G38" s="16">
        <v>138.33000000000001</v>
      </c>
      <c r="H38" s="3">
        <f t="shared" si="1"/>
        <v>81.988191000000015</v>
      </c>
      <c r="I38" s="14"/>
      <c r="J38" s="3">
        <f t="shared" si="3"/>
        <v>0</v>
      </c>
      <c r="K38" s="9">
        <f t="shared" ca="1" si="2"/>
        <v>0</v>
      </c>
      <c r="L38" s="18">
        <f t="shared" si="0"/>
        <v>0</v>
      </c>
    </row>
    <row r="39" spans="2:12" ht="29" x14ac:dyDescent="0.35">
      <c r="B39" s="20"/>
      <c r="C39" s="8" t="s">
        <v>34</v>
      </c>
      <c r="D39" s="2" t="s">
        <v>75</v>
      </c>
      <c r="E39" s="2"/>
      <c r="F39" s="2">
        <v>0.1462</v>
      </c>
      <c r="G39" s="16">
        <v>170.99</v>
      </c>
      <c r="H39" s="3">
        <f t="shared" si="1"/>
        <v>24.998737999999999</v>
      </c>
      <c r="I39" s="14"/>
      <c r="J39" s="3">
        <f t="shared" si="3"/>
        <v>0</v>
      </c>
      <c r="K39" s="9">
        <f t="shared" ca="1" si="2"/>
        <v>0</v>
      </c>
      <c r="L39" s="18">
        <f t="shared" si="0"/>
        <v>0</v>
      </c>
    </row>
    <row r="40" spans="2:12" x14ac:dyDescent="0.35">
      <c r="B40" s="20"/>
      <c r="C40" s="2" t="s">
        <v>44</v>
      </c>
      <c r="D40" s="2" t="s">
        <v>69</v>
      </c>
      <c r="E40" s="2"/>
      <c r="F40" s="2">
        <v>0.21099999999999999</v>
      </c>
      <c r="G40" s="16">
        <v>179.99</v>
      </c>
      <c r="H40" s="3">
        <f t="shared" si="1"/>
        <v>37.977890000000002</v>
      </c>
      <c r="I40" s="14"/>
      <c r="J40" s="3">
        <f t="shared" si="3"/>
        <v>0</v>
      </c>
      <c r="K40" s="9">
        <f t="shared" ca="1" si="2"/>
        <v>0</v>
      </c>
      <c r="L40" s="18">
        <f t="shared" si="0"/>
        <v>0</v>
      </c>
    </row>
    <row r="41" spans="2:12" ht="29" x14ac:dyDescent="0.35">
      <c r="B41" s="20"/>
      <c r="C41" s="2" t="s">
        <v>33</v>
      </c>
      <c r="D41" s="2" t="s">
        <v>75</v>
      </c>
      <c r="E41" s="2"/>
      <c r="F41" s="2">
        <v>0.1406</v>
      </c>
      <c r="G41" s="16">
        <v>258.81</v>
      </c>
      <c r="H41" s="3">
        <f t="shared" si="1"/>
        <v>36.388686</v>
      </c>
      <c r="I41" s="14"/>
      <c r="J41" s="3">
        <f t="shared" si="3"/>
        <v>0</v>
      </c>
      <c r="K41" s="9">
        <f t="shared" ca="1" si="2"/>
        <v>0</v>
      </c>
      <c r="L41" s="18">
        <f t="shared" si="0"/>
        <v>0</v>
      </c>
    </row>
    <row r="42" spans="2:12" x14ac:dyDescent="0.35">
      <c r="B42" s="20"/>
      <c r="C42" s="2" t="s">
        <v>30</v>
      </c>
      <c r="D42" s="2" t="s">
        <v>69</v>
      </c>
      <c r="E42" s="2"/>
      <c r="F42" s="2">
        <v>0.41389999999999999</v>
      </c>
      <c r="G42" s="16">
        <v>378.17</v>
      </c>
      <c r="H42" s="3">
        <f t="shared" si="1"/>
        <v>156.524563</v>
      </c>
      <c r="I42" s="14"/>
      <c r="J42" s="3">
        <f t="shared" si="3"/>
        <v>0</v>
      </c>
      <c r="K42" s="9">
        <f t="shared" ca="1" si="2"/>
        <v>0</v>
      </c>
      <c r="L42" s="18">
        <f t="shared" si="0"/>
        <v>0</v>
      </c>
    </row>
    <row r="43" spans="2:12" ht="29" x14ac:dyDescent="0.35">
      <c r="B43" s="20"/>
      <c r="C43" s="2" t="s">
        <v>52</v>
      </c>
      <c r="D43" s="2" t="s">
        <v>75</v>
      </c>
      <c r="E43" s="2"/>
      <c r="F43" s="2">
        <v>0.03</v>
      </c>
      <c r="G43" s="16">
        <v>1552.96</v>
      </c>
      <c r="H43" s="3">
        <f t="shared" si="1"/>
        <v>46.588799999999999</v>
      </c>
      <c r="I43" s="14"/>
      <c r="J43" s="3">
        <f t="shared" si="3"/>
        <v>0</v>
      </c>
      <c r="K43" s="9">
        <f t="shared" ca="1" si="2"/>
        <v>0</v>
      </c>
      <c r="L43" s="18">
        <f t="shared" si="0"/>
        <v>0</v>
      </c>
    </row>
    <row r="44" spans="2:12" x14ac:dyDescent="0.35">
      <c r="B44" s="20"/>
      <c r="C44" s="2" t="s">
        <v>45</v>
      </c>
      <c r="D44" s="2" t="s">
        <v>69</v>
      </c>
      <c r="E44" s="2"/>
      <c r="F44" s="2">
        <v>1.37</v>
      </c>
      <c r="G44" s="16">
        <v>143.34</v>
      </c>
      <c r="H44" s="3">
        <f t="shared" si="1"/>
        <v>196.37580000000003</v>
      </c>
      <c r="I44" s="14"/>
      <c r="J44" s="3">
        <f t="shared" si="3"/>
        <v>0</v>
      </c>
      <c r="K44" s="9">
        <f t="shared" ca="1" si="2"/>
        <v>0</v>
      </c>
      <c r="L44" s="18">
        <f t="shared" si="0"/>
        <v>0</v>
      </c>
    </row>
    <row r="45" spans="2:12" ht="16" x14ac:dyDescent="0.35">
      <c r="B45" s="10" t="s">
        <v>4</v>
      </c>
      <c r="C45" s="2"/>
      <c r="D45" s="2"/>
      <c r="E45" s="2"/>
      <c r="F45" s="2"/>
      <c r="G45" s="16"/>
      <c r="H45" s="3">
        <f t="shared" si="1"/>
        <v>0</v>
      </c>
      <c r="I45" s="14"/>
      <c r="J45" s="3">
        <f t="shared" si="3"/>
        <v>0</v>
      </c>
      <c r="K45" s="9">
        <f t="shared" si="2"/>
        <v>0</v>
      </c>
      <c r="L45" s="18">
        <f t="shared" si="0"/>
        <v>0</v>
      </c>
    </row>
    <row r="46" spans="2:12" ht="16" x14ac:dyDescent="0.35">
      <c r="B46" s="19" t="s">
        <v>86</v>
      </c>
      <c r="C46" s="5"/>
      <c r="D46" s="5"/>
      <c r="E46" s="5"/>
      <c r="F46" s="5"/>
      <c r="G46" s="15"/>
      <c r="H46" s="7">
        <f>SUM(H4:H45)</f>
        <v>2922312.6271745013</v>
      </c>
      <c r="I46" s="15"/>
      <c r="J46" s="6">
        <f>SUM(J4:J45)</f>
        <v>126591.5</v>
      </c>
      <c r="K46" s="5"/>
      <c r="L46" s="18">
        <f t="shared" si="0"/>
        <v>0.5</v>
      </c>
    </row>
  </sheetData>
  <mergeCells count="14">
    <mergeCell ref="L2:L3"/>
    <mergeCell ref="B5:B9"/>
    <mergeCell ref="B10:B34"/>
    <mergeCell ref="B35:B44"/>
    <mergeCell ref="G2:G3"/>
    <mergeCell ref="H2:H3"/>
    <mergeCell ref="I2:I3"/>
    <mergeCell ref="B2:B3"/>
    <mergeCell ref="C2:C3"/>
    <mergeCell ref="D2:D3"/>
    <mergeCell ref="F2:F3"/>
    <mergeCell ref="J2:J3"/>
    <mergeCell ref="K2:K3"/>
    <mergeCell ref="E2:E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560C-88B4-40CB-8CCA-3DC173D5F11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7371-F6CB-4CA0-B0F0-AEB21D0687E0}">
  <dimension ref="B2:L28"/>
  <sheetViews>
    <sheetView zoomScale="70" zoomScaleNormal="70" workbookViewId="0">
      <selection activeCell="D27" sqref="D27"/>
    </sheetView>
  </sheetViews>
  <sheetFormatPr baseColWidth="10" defaultRowHeight="14.5" x14ac:dyDescent="0.35"/>
  <cols>
    <col min="1" max="1" width="10.90625" style="1"/>
    <col min="2" max="2" width="13.453125" style="1" customWidth="1"/>
    <col min="3" max="3" width="14.26953125" style="1" customWidth="1"/>
    <col min="4" max="4" width="17.81640625" style="1" bestFit="1" customWidth="1"/>
    <col min="5" max="5" width="16.1796875" style="1" bestFit="1" customWidth="1"/>
    <col min="6" max="6" width="13.453125" style="1" customWidth="1"/>
    <col min="7" max="7" width="17" style="1" bestFit="1" customWidth="1"/>
    <col min="8" max="8" width="14.81640625" style="1" bestFit="1" customWidth="1"/>
    <col min="9" max="9" width="14.81640625" style="1" customWidth="1"/>
    <col min="10" max="10" width="15.36328125" style="1" bestFit="1" customWidth="1"/>
    <col min="11" max="16384" width="10.90625" style="1"/>
  </cols>
  <sheetData>
    <row r="2" spans="2:12" x14ac:dyDescent="0.35">
      <c r="B2" s="27" t="s">
        <v>11</v>
      </c>
      <c r="C2" s="27" t="s">
        <v>13</v>
      </c>
      <c r="D2" s="27" t="s">
        <v>10</v>
      </c>
      <c r="E2" s="27" t="s">
        <v>17</v>
      </c>
      <c r="F2" s="2" t="s">
        <v>8</v>
      </c>
      <c r="G2" s="2" t="s">
        <v>7</v>
      </c>
      <c r="H2" s="2" t="s">
        <v>9</v>
      </c>
      <c r="I2" s="25" t="s">
        <v>23</v>
      </c>
      <c r="J2" s="25" t="s">
        <v>22</v>
      </c>
    </row>
    <row r="3" spans="2:12" x14ac:dyDescent="0.35">
      <c r="B3" s="27"/>
      <c r="C3" s="27"/>
      <c r="D3" s="27"/>
      <c r="E3" s="27"/>
      <c r="F3" s="2" t="s">
        <v>5</v>
      </c>
      <c r="G3" s="2" t="s">
        <v>6</v>
      </c>
      <c r="H3" s="2" t="s">
        <v>0</v>
      </c>
      <c r="I3" s="26"/>
      <c r="J3" s="26"/>
    </row>
    <row r="4" spans="2:12" x14ac:dyDescent="0.35">
      <c r="B4" s="2" t="s">
        <v>19</v>
      </c>
      <c r="C4" s="2" t="s">
        <v>14</v>
      </c>
      <c r="D4" s="2"/>
      <c r="E4" s="2"/>
      <c r="F4" s="4"/>
      <c r="G4" s="3"/>
      <c r="H4" s="3"/>
      <c r="I4" s="3"/>
      <c r="J4" s="5"/>
    </row>
    <row r="5" spans="2:12" x14ac:dyDescent="0.35">
      <c r="B5" s="27" t="s">
        <v>1</v>
      </c>
      <c r="C5" s="2" t="s">
        <v>15</v>
      </c>
      <c r="D5" s="2"/>
      <c r="E5" s="2"/>
      <c r="F5" s="4">
        <v>299992</v>
      </c>
      <c r="G5" s="3">
        <v>82547</v>
      </c>
      <c r="H5" s="3">
        <f>G5+F5</f>
        <v>382539</v>
      </c>
      <c r="I5" s="3"/>
      <c r="J5" s="23">
        <f>SUM(H5:H9)</f>
        <v>1483144</v>
      </c>
    </row>
    <row r="6" spans="2:12" x14ac:dyDescent="0.35">
      <c r="B6" s="27"/>
      <c r="C6" s="2" t="s">
        <v>16</v>
      </c>
      <c r="D6" s="2"/>
      <c r="E6" s="2"/>
      <c r="F6" s="4">
        <v>217985</v>
      </c>
      <c r="G6" s="3">
        <v>102389</v>
      </c>
      <c r="H6" s="3">
        <f t="shared" ref="H6:H9" si="0">G6+F6</f>
        <v>320374</v>
      </c>
      <c r="I6" s="3"/>
      <c r="J6" s="23"/>
    </row>
    <row r="7" spans="2:12" x14ac:dyDescent="0.35">
      <c r="B7" s="27"/>
      <c r="C7" s="2" t="s">
        <v>21</v>
      </c>
      <c r="D7" s="2"/>
      <c r="E7" s="2"/>
      <c r="F7" s="4">
        <v>256994</v>
      </c>
      <c r="G7" s="3">
        <v>-4525</v>
      </c>
      <c r="H7" s="3">
        <f>F7+G7</f>
        <v>252469</v>
      </c>
      <c r="I7" s="3"/>
      <c r="J7" s="23"/>
    </row>
    <row r="8" spans="2:12" x14ac:dyDescent="0.35">
      <c r="B8" s="27"/>
      <c r="C8" s="2" t="s">
        <v>20</v>
      </c>
      <c r="D8" s="2"/>
      <c r="E8" s="2"/>
      <c r="F8" s="4">
        <v>216996</v>
      </c>
      <c r="G8" s="3">
        <v>36533</v>
      </c>
      <c r="H8" s="3">
        <f t="shared" si="0"/>
        <v>253529</v>
      </c>
      <c r="I8" s="3"/>
      <c r="J8" s="23"/>
    </row>
    <row r="9" spans="2:12" x14ac:dyDescent="0.35">
      <c r="B9" s="27"/>
      <c r="C9" s="2" t="s">
        <v>18</v>
      </c>
      <c r="D9" s="2"/>
      <c r="E9" s="2"/>
      <c r="F9" s="4">
        <v>200000</v>
      </c>
      <c r="G9" s="3">
        <v>74233</v>
      </c>
      <c r="H9" s="3">
        <f t="shared" si="0"/>
        <v>274233</v>
      </c>
      <c r="I9" s="3"/>
      <c r="J9" s="23"/>
    </row>
    <row r="10" spans="2:12" x14ac:dyDescent="0.35">
      <c r="B10" s="27" t="s">
        <v>2</v>
      </c>
      <c r="C10" s="2"/>
      <c r="D10" s="2"/>
      <c r="E10" s="2"/>
      <c r="F10" s="4"/>
      <c r="G10" s="4"/>
      <c r="H10" s="3">
        <f>F10+G10</f>
        <v>0</v>
      </c>
      <c r="I10" s="3"/>
      <c r="J10" s="24"/>
    </row>
    <row r="11" spans="2:12" x14ac:dyDescent="0.35">
      <c r="B11" s="27"/>
      <c r="C11" s="2"/>
      <c r="D11" s="2"/>
      <c r="E11" s="2"/>
      <c r="F11" s="4"/>
      <c r="G11" s="4"/>
      <c r="H11" s="3">
        <f>G11+F11</f>
        <v>0</v>
      </c>
      <c r="I11" s="3"/>
      <c r="J11" s="24"/>
    </row>
    <row r="12" spans="2:12" x14ac:dyDescent="0.35">
      <c r="B12" s="27" t="s">
        <v>3</v>
      </c>
      <c r="C12" s="2" t="s">
        <v>24</v>
      </c>
      <c r="D12" s="2">
        <v>10.029999999999999</v>
      </c>
      <c r="E12" s="2">
        <v>64.61</v>
      </c>
      <c r="F12" s="4">
        <v>430104</v>
      </c>
      <c r="G12" s="4">
        <v>-204000.21</v>
      </c>
      <c r="H12" s="3">
        <f t="shared" ref="H12:H23" si="1">G12+F12</f>
        <v>226103.79</v>
      </c>
      <c r="I12" s="3"/>
      <c r="J12" s="5"/>
    </row>
    <row r="13" spans="2:12" x14ac:dyDescent="0.35">
      <c r="B13" s="27"/>
      <c r="C13" s="2" t="s">
        <v>27</v>
      </c>
      <c r="D13" s="2">
        <v>0.3</v>
      </c>
      <c r="E13" s="2">
        <v>37781</v>
      </c>
      <c r="F13" s="4">
        <v>154083</v>
      </c>
      <c r="G13" s="4">
        <v>41000</v>
      </c>
      <c r="H13" s="3">
        <f t="shared" si="1"/>
        <v>195083</v>
      </c>
      <c r="I13" s="3"/>
      <c r="J13" s="5"/>
    </row>
    <row r="14" spans="2:12" x14ac:dyDescent="0.35">
      <c r="B14" s="27"/>
      <c r="C14" s="2" t="s">
        <v>28</v>
      </c>
      <c r="D14" s="2">
        <v>1.2</v>
      </c>
      <c r="E14" s="2">
        <v>67.989999999999995</v>
      </c>
      <c r="F14" s="4">
        <v>90000</v>
      </c>
      <c r="G14" s="4">
        <v>8000</v>
      </c>
      <c r="H14" s="3">
        <f t="shared" si="1"/>
        <v>98000</v>
      </c>
      <c r="I14" s="3"/>
      <c r="J14" s="5"/>
    </row>
    <row r="15" spans="2:12" x14ac:dyDescent="0.35">
      <c r="B15" s="27"/>
      <c r="C15" s="2" t="s">
        <v>29</v>
      </c>
      <c r="D15" s="2">
        <v>0.5</v>
      </c>
      <c r="E15" s="2">
        <v>138</v>
      </c>
      <c r="F15" s="4">
        <v>83000</v>
      </c>
      <c r="G15" s="4">
        <v>5000</v>
      </c>
      <c r="H15" s="3">
        <f t="shared" si="1"/>
        <v>88000</v>
      </c>
      <c r="I15" s="3"/>
      <c r="J15" s="5"/>
      <c r="L15" s="1">
        <f>SUM(2.3+1.3+2.3+1.4)</f>
        <v>7.2999999999999989</v>
      </c>
    </row>
    <row r="16" spans="2:12" x14ac:dyDescent="0.35">
      <c r="B16" s="27"/>
      <c r="C16" s="8" t="s">
        <v>34</v>
      </c>
      <c r="D16" s="2">
        <v>0.1</v>
      </c>
      <c r="E16" s="2">
        <v>170.99</v>
      </c>
      <c r="F16" s="4">
        <v>34000</v>
      </c>
      <c r="G16" s="4">
        <v>10000</v>
      </c>
      <c r="H16" s="3">
        <f t="shared" si="1"/>
        <v>44000</v>
      </c>
      <c r="I16" s="3"/>
      <c r="J16" s="5"/>
    </row>
    <row r="17" spans="2:10" x14ac:dyDescent="0.35">
      <c r="B17" s="27"/>
      <c r="C17" s="2" t="s">
        <v>32</v>
      </c>
      <c r="D17" s="2">
        <v>0.2</v>
      </c>
      <c r="E17" s="2">
        <v>179</v>
      </c>
      <c r="F17" s="4">
        <v>48900</v>
      </c>
      <c r="G17" s="4">
        <v>12000</v>
      </c>
      <c r="H17" s="3">
        <f t="shared" si="1"/>
        <v>60900</v>
      </c>
      <c r="I17" s="3"/>
      <c r="J17" s="5"/>
    </row>
    <row r="18" spans="2:10" x14ac:dyDescent="0.35">
      <c r="B18" s="27"/>
      <c r="C18" s="2" t="s">
        <v>33</v>
      </c>
      <c r="D18" s="2">
        <v>0.14000000000000001</v>
      </c>
      <c r="E18" s="2">
        <v>258</v>
      </c>
      <c r="F18" s="4">
        <v>47000</v>
      </c>
      <c r="G18" s="4">
        <v>11000</v>
      </c>
      <c r="H18" s="3">
        <f t="shared" si="1"/>
        <v>58000</v>
      </c>
      <c r="I18" s="3"/>
      <c r="J18" s="5"/>
    </row>
    <row r="19" spans="2:10" x14ac:dyDescent="0.35">
      <c r="B19" s="27"/>
      <c r="C19" s="2" t="s">
        <v>30</v>
      </c>
      <c r="D19" s="2">
        <v>0.2</v>
      </c>
      <c r="E19" s="2">
        <v>375</v>
      </c>
      <c r="F19" s="4">
        <v>76000</v>
      </c>
      <c r="G19" s="4">
        <v>-7000</v>
      </c>
      <c r="H19" s="3">
        <f t="shared" si="1"/>
        <v>69000</v>
      </c>
      <c r="I19" s="3"/>
      <c r="J19" s="5"/>
    </row>
    <row r="20" spans="2:10" x14ac:dyDescent="0.35">
      <c r="B20" s="27"/>
      <c r="C20" s="2" t="s">
        <v>36</v>
      </c>
      <c r="D20" s="2">
        <v>0.8</v>
      </c>
      <c r="E20" s="2">
        <v>22</v>
      </c>
      <c r="F20" s="4">
        <v>19000</v>
      </c>
      <c r="G20" s="4">
        <v>200</v>
      </c>
      <c r="H20" s="3">
        <f t="shared" si="1"/>
        <v>19200</v>
      </c>
      <c r="I20" s="3"/>
      <c r="J20" s="5"/>
    </row>
    <row r="21" spans="2:10" x14ac:dyDescent="0.35">
      <c r="B21" s="27"/>
      <c r="C21" s="8" t="s">
        <v>35</v>
      </c>
      <c r="D21" s="2"/>
      <c r="E21" s="2"/>
      <c r="F21" s="4"/>
      <c r="G21" s="4"/>
      <c r="H21" s="3">
        <f t="shared" si="1"/>
        <v>0</v>
      </c>
      <c r="I21" s="3"/>
      <c r="J21" s="5"/>
    </row>
    <row r="22" spans="2:10" x14ac:dyDescent="0.35">
      <c r="B22" s="27"/>
      <c r="C22" s="2" t="s">
        <v>31</v>
      </c>
      <c r="D22" s="2"/>
      <c r="E22" s="2"/>
      <c r="F22" s="4"/>
      <c r="G22" s="4"/>
      <c r="H22" s="3">
        <f t="shared" si="1"/>
        <v>0</v>
      </c>
      <c r="I22" s="3"/>
      <c r="J22" s="5"/>
    </row>
    <row r="23" spans="2:10" x14ac:dyDescent="0.35">
      <c r="B23" s="27"/>
      <c r="C23" s="2" t="s">
        <v>25</v>
      </c>
      <c r="D23" s="2">
        <v>1.3</v>
      </c>
      <c r="E23" s="2" t="s">
        <v>26</v>
      </c>
      <c r="F23" s="4">
        <v>308457</v>
      </c>
      <c r="G23" s="4">
        <v>122000</v>
      </c>
      <c r="H23" s="3">
        <f t="shared" si="1"/>
        <v>430457</v>
      </c>
      <c r="I23" s="3"/>
      <c r="J23" s="5"/>
    </row>
    <row r="24" spans="2:10" x14ac:dyDescent="0.35">
      <c r="B24" s="2" t="s">
        <v>4</v>
      </c>
      <c r="C24" s="2"/>
      <c r="D24" s="2"/>
      <c r="E24" s="2"/>
      <c r="F24" s="4"/>
      <c r="G24" s="4"/>
      <c r="H24" s="2"/>
      <c r="I24" s="2"/>
      <c r="J24" s="5"/>
    </row>
    <row r="25" spans="2:10" x14ac:dyDescent="0.35">
      <c r="B25" s="5"/>
      <c r="C25" s="5"/>
      <c r="D25" s="5"/>
      <c r="E25" s="5"/>
      <c r="F25" s="6">
        <f>SUM(F4:F24)</f>
        <v>2482511</v>
      </c>
      <c r="G25" s="7">
        <f>SUM(G4:G24)</f>
        <v>289376.79000000004</v>
      </c>
      <c r="H25" s="6">
        <f>F25+G25</f>
        <v>2771887.79</v>
      </c>
      <c r="I25" s="6"/>
      <c r="J25" s="5"/>
    </row>
    <row r="28" spans="2:10" x14ac:dyDescent="0.35">
      <c r="G28" s="1">
        <f>143*1.3</f>
        <v>185.9</v>
      </c>
    </row>
  </sheetData>
  <mergeCells count="11">
    <mergeCell ref="B2:B3"/>
    <mergeCell ref="B12:B23"/>
    <mergeCell ref="B10:B11"/>
    <mergeCell ref="C2:C3"/>
    <mergeCell ref="B5:B9"/>
    <mergeCell ref="J5:J9"/>
    <mergeCell ref="J10:J11"/>
    <mergeCell ref="J2:J3"/>
    <mergeCell ref="I2:I3"/>
    <mergeCell ref="D2:D3"/>
    <mergeCell ref="E2:E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5FD5-535F-453B-8E45-B5BF61A0C85A}">
  <dimension ref="A1"/>
  <sheetViews>
    <sheetView zoomScale="36"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756B-C4C9-42FF-A206-F3BC8DE8645F}">
  <dimension ref="A1"/>
  <sheetViews>
    <sheetView workbookViewId="0"/>
  </sheetViews>
  <sheetFormatPr baseColWidth="10" defaultRowHeight="14.5" x14ac:dyDescent="0.35"/>
  <sheetData>
    <row r="1" spans="1:1" x14ac:dyDescent="0.35">
      <c r="A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C209-C2B6-46EF-AED0-13AC5E9AB26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D3D3-8303-4850-AFE0-CF1CA089443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BA9A-3986-473D-9C56-2C1B8A473CA0}">
  <dimension ref="A1"/>
  <sheetViews>
    <sheetView topLeftCell="A4" zoomScale="73" workbookViewId="0">
      <selection activeCell="C5" sqref="C5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6457-BD74-4DFB-A990-1E21063073BA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EF06-9996-471C-86B2-57EEF101926B}">
  <dimension ref="A1:V37"/>
  <sheetViews>
    <sheetView tabSelected="1" zoomScale="75" workbookViewId="0">
      <selection activeCell="B1" sqref="B1:F1048576"/>
    </sheetView>
  </sheetViews>
  <sheetFormatPr baseColWidth="10" defaultRowHeight="14.5" x14ac:dyDescent="0.35"/>
  <cols>
    <col min="1" max="1" width="8.81640625" style="1" customWidth="1"/>
    <col min="2" max="2" width="10.90625" style="1"/>
    <col min="3" max="3" width="14.26953125" style="1" customWidth="1"/>
    <col min="4" max="4" width="10.90625" style="1"/>
    <col min="5" max="5" width="13.26953125" style="1" customWidth="1"/>
    <col min="6" max="6" width="13.453125" style="1" customWidth="1"/>
    <col min="7" max="9" width="10.90625" style="1"/>
    <col min="10" max="10" width="13.26953125" style="1" customWidth="1"/>
    <col min="11" max="16384" width="10.90625" style="1"/>
  </cols>
  <sheetData>
    <row r="1" spans="1:22" x14ac:dyDescent="0.35">
      <c r="B1" s="20" t="s">
        <v>37</v>
      </c>
      <c r="C1" s="20" t="s">
        <v>77</v>
      </c>
      <c r="D1" s="20" t="s">
        <v>87</v>
      </c>
      <c r="E1" s="21" t="s">
        <v>38</v>
      </c>
      <c r="F1" s="21" t="s">
        <v>39</v>
      </c>
      <c r="G1" s="21" t="s">
        <v>40</v>
      </c>
      <c r="H1" s="21" t="s">
        <v>41</v>
      </c>
      <c r="I1" s="21" t="s">
        <v>42</v>
      </c>
      <c r="J1" s="20" t="s">
        <v>43</v>
      </c>
    </row>
    <row r="2" spans="1:22" x14ac:dyDescent="0.35">
      <c r="B2" s="20"/>
      <c r="C2" s="20"/>
      <c r="D2" s="20"/>
      <c r="E2" s="22"/>
      <c r="F2" s="22"/>
      <c r="G2" s="22"/>
      <c r="H2" s="22"/>
      <c r="I2" s="22"/>
      <c r="J2" s="20"/>
    </row>
    <row r="3" spans="1:22" ht="14.5" customHeight="1" x14ac:dyDescent="0.35">
      <c r="A3" s="20"/>
      <c r="B3" s="2" t="s">
        <v>45</v>
      </c>
      <c r="C3" s="2" t="s">
        <v>69</v>
      </c>
      <c r="D3" s="2">
        <v>1.613</v>
      </c>
      <c r="E3" s="4">
        <f>156.27</f>
        <v>156.27000000000001</v>
      </c>
      <c r="F3" s="3">
        <f t="shared" ref="F3:F37" si="0">D3*E3</f>
        <v>252.06351000000001</v>
      </c>
      <c r="G3" s="14"/>
      <c r="H3" s="3">
        <f t="shared" ref="H3:H37" si="1">D3*G3</f>
        <v>0</v>
      </c>
      <c r="I3" s="9">
        <f ca="1">IF(F3=0,0,I3/F3)</f>
        <v>0</v>
      </c>
      <c r="J3" s="18">
        <f t="shared" ref="J3:J37" ca="1" si="2">IF(SUM($I$5:$I$200)=0,0,H3/SUM($I$5:$I$200))</f>
        <v>0</v>
      </c>
    </row>
    <row r="4" spans="1:22" x14ac:dyDescent="0.35">
      <c r="A4" s="20"/>
      <c r="B4" s="2" t="s">
        <v>27</v>
      </c>
      <c r="C4" s="2" t="s">
        <v>69</v>
      </c>
      <c r="D4" s="2">
        <v>0.35399999999999998</v>
      </c>
      <c r="E4" s="4">
        <f>373.52</f>
        <v>373.52</v>
      </c>
      <c r="F4" s="3">
        <f>D4*E4</f>
        <v>132.22608</v>
      </c>
      <c r="G4" s="14"/>
      <c r="H4" s="3">
        <f t="shared" si="1"/>
        <v>0</v>
      </c>
      <c r="I4" s="9" t="e">
        <f t="shared" ref="I4:I37" ca="1" si="3">IF(F4=0,0,I4/F4)</f>
        <v>#REF!</v>
      </c>
      <c r="J4" s="18">
        <f t="shared" ca="1" si="2"/>
        <v>0</v>
      </c>
    </row>
    <row r="5" spans="1:22" x14ac:dyDescent="0.35">
      <c r="A5" s="20"/>
      <c r="B5" s="2" t="s">
        <v>46</v>
      </c>
      <c r="C5" s="2" t="s">
        <v>69</v>
      </c>
      <c r="D5" s="2">
        <v>0.95089999999999997</v>
      </c>
      <c r="E5" s="4">
        <f>234.23</f>
        <v>234.23</v>
      </c>
      <c r="F5" s="3">
        <f t="shared" si="0"/>
        <v>222.72930699999998</v>
      </c>
      <c r="G5" s="14"/>
      <c r="H5" s="3">
        <f t="shared" si="1"/>
        <v>0</v>
      </c>
      <c r="I5" s="9">
        <f t="shared" ca="1" si="3"/>
        <v>0</v>
      </c>
      <c r="J5" s="18">
        <f t="shared" ca="1" si="2"/>
        <v>0</v>
      </c>
    </row>
    <row r="6" spans="1:22" x14ac:dyDescent="0.35">
      <c r="A6" s="20"/>
      <c r="B6" s="2" t="s">
        <v>47</v>
      </c>
      <c r="C6" s="2" t="s">
        <v>69</v>
      </c>
      <c r="D6" s="2">
        <v>0.11243</v>
      </c>
      <c r="E6" s="4">
        <v>736.89</v>
      </c>
      <c r="F6" s="3">
        <f t="shared" si="0"/>
        <v>82.848542699999996</v>
      </c>
      <c r="G6" s="14"/>
      <c r="H6" s="3">
        <f t="shared" si="1"/>
        <v>0</v>
      </c>
      <c r="I6" s="9">
        <f t="shared" ca="1" si="3"/>
        <v>0</v>
      </c>
      <c r="J6" s="18">
        <f t="shared" ca="1" si="2"/>
        <v>0</v>
      </c>
    </row>
    <row r="7" spans="1:22" x14ac:dyDescent="0.35">
      <c r="A7" s="20"/>
      <c r="B7" s="2" t="s">
        <v>48</v>
      </c>
      <c r="C7" s="2" t="s">
        <v>69</v>
      </c>
      <c r="D7" s="2">
        <v>0.67712000000000006</v>
      </c>
      <c r="E7" s="4">
        <v>100.85</v>
      </c>
      <c r="F7" s="3">
        <f t="shared" si="0"/>
        <v>68.287552000000005</v>
      </c>
      <c r="G7" s="14"/>
      <c r="H7" s="3">
        <f t="shared" si="1"/>
        <v>0</v>
      </c>
      <c r="I7" s="9">
        <f t="shared" ca="1" si="3"/>
        <v>0</v>
      </c>
      <c r="J7" s="18">
        <f t="shared" ca="1" si="2"/>
        <v>0</v>
      </c>
      <c r="M7" s="20"/>
      <c r="N7" s="20"/>
      <c r="O7" s="21"/>
      <c r="P7" s="20"/>
      <c r="Q7" s="21"/>
      <c r="R7" s="21"/>
      <c r="S7" s="21"/>
      <c r="T7" s="21"/>
      <c r="U7" s="21"/>
      <c r="V7" s="20"/>
    </row>
    <row r="8" spans="1:22" x14ac:dyDescent="0.35">
      <c r="A8" s="20"/>
      <c r="B8" s="2" t="s">
        <v>49</v>
      </c>
      <c r="C8" s="2" t="s">
        <v>69</v>
      </c>
      <c r="D8" s="2">
        <v>0.54500000000000004</v>
      </c>
      <c r="E8" s="4">
        <v>114.04</v>
      </c>
      <c r="F8" s="3">
        <f t="shared" si="0"/>
        <v>62.151800000000009</v>
      </c>
      <c r="G8" s="14"/>
      <c r="H8" s="3">
        <f t="shared" si="1"/>
        <v>0</v>
      </c>
      <c r="I8" s="9">
        <f t="shared" ca="1" si="3"/>
        <v>0</v>
      </c>
      <c r="J8" s="18">
        <f t="shared" ca="1" si="2"/>
        <v>0</v>
      </c>
      <c r="M8" s="20"/>
      <c r="N8" s="20"/>
      <c r="O8" s="22"/>
      <c r="P8" s="20"/>
      <c r="Q8" s="22"/>
      <c r="R8" s="22"/>
      <c r="S8" s="22"/>
      <c r="T8" s="22"/>
      <c r="U8" s="22"/>
      <c r="V8" s="20"/>
    </row>
    <row r="9" spans="1:22" ht="29" x14ac:dyDescent="0.35">
      <c r="A9" s="20"/>
      <c r="B9" s="2" t="s">
        <v>50</v>
      </c>
      <c r="C9" s="2" t="s">
        <v>70</v>
      </c>
      <c r="D9" s="2">
        <v>0.89880000000000004</v>
      </c>
      <c r="E9" s="4">
        <v>144.87</v>
      </c>
      <c r="F9" s="3">
        <f t="shared" si="0"/>
        <v>130.20915600000001</v>
      </c>
      <c r="G9" s="14"/>
      <c r="H9" s="3">
        <f t="shared" si="1"/>
        <v>0</v>
      </c>
      <c r="I9" s="9">
        <f t="shared" ca="1" si="3"/>
        <v>0</v>
      </c>
      <c r="J9" s="18">
        <f t="shared" ca="1" si="2"/>
        <v>0</v>
      </c>
    </row>
    <row r="10" spans="1:22" ht="29" x14ac:dyDescent="0.35">
      <c r="A10" s="20"/>
      <c r="B10" s="2" t="s">
        <v>51</v>
      </c>
      <c r="C10" s="2" t="s">
        <v>75</v>
      </c>
      <c r="D10" s="2">
        <v>1.1299999999999999</v>
      </c>
      <c r="E10" s="4">
        <v>75.22</v>
      </c>
      <c r="F10" s="3">
        <f t="shared" si="0"/>
        <v>84.998599999999996</v>
      </c>
      <c r="G10" s="14"/>
      <c r="H10" s="3">
        <f t="shared" si="1"/>
        <v>0</v>
      </c>
      <c r="I10" s="9">
        <f t="shared" ca="1" si="3"/>
        <v>0</v>
      </c>
      <c r="J10" s="18">
        <f t="shared" ca="1" si="2"/>
        <v>0</v>
      </c>
    </row>
    <row r="11" spans="1:22" ht="29" x14ac:dyDescent="0.35">
      <c r="A11" s="20"/>
      <c r="B11" s="2" t="s">
        <v>52</v>
      </c>
      <c r="C11" s="2" t="s">
        <v>75</v>
      </c>
      <c r="D11" s="2">
        <v>3.4860000000000002E-2</v>
      </c>
      <c r="E11" s="4">
        <v>1434</v>
      </c>
      <c r="F11" s="3">
        <f t="shared" si="0"/>
        <v>49.989240000000002</v>
      </c>
      <c r="G11" s="14"/>
      <c r="H11" s="3">
        <f t="shared" si="1"/>
        <v>0</v>
      </c>
      <c r="I11" s="9">
        <f t="shared" ca="1" si="3"/>
        <v>0</v>
      </c>
      <c r="J11" s="18">
        <f t="shared" ca="1" si="2"/>
        <v>0</v>
      </c>
    </row>
    <row r="12" spans="1:22" x14ac:dyDescent="0.35">
      <c r="A12" s="20"/>
      <c r="B12" s="2" t="s">
        <v>53</v>
      </c>
      <c r="C12" s="2" t="s">
        <v>79</v>
      </c>
      <c r="D12" s="2">
        <v>16.559999999999999</v>
      </c>
      <c r="E12" s="4">
        <v>2.81</v>
      </c>
      <c r="F12" s="3">
        <f t="shared" si="0"/>
        <v>46.5336</v>
      </c>
      <c r="G12" s="14"/>
      <c r="H12" s="3">
        <f t="shared" si="1"/>
        <v>0</v>
      </c>
      <c r="I12" s="9">
        <f t="shared" ca="1" si="3"/>
        <v>0</v>
      </c>
      <c r="J12" s="18">
        <f t="shared" ca="1" si="2"/>
        <v>0</v>
      </c>
    </row>
    <row r="13" spans="1:22" ht="29" x14ac:dyDescent="0.35">
      <c r="A13" s="20"/>
      <c r="B13" s="2" t="s">
        <v>55</v>
      </c>
      <c r="C13" s="2" t="s">
        <v>75</v>
      </c>
      <c r="D13" s="2">
        <v>0.21065</v>
      </c>
      <c r="E13" s="4">
        <v>166.15</v>
      </c>
      <c r="F13" s="3">
        <f t="shared" si="0"/>
        <v>34.999497500000004</v>
      </c>
      <c r="G13" s="14"/>
      <c r="H13" s="3">
        <f t="shared" si="1"/>
        <v>0</v>
      </c>
      <c r="I13" s="9">
        <f t="shared" ca="1" si="3"/>
        <v>0</v>
      </c>
      <c r="J13" s="18">
        <f t="shared" ca="1" si="2"/>
        <v>0</v>
      </c>
    </row>
    <row r="14" spans="1:22" ht="43.5" x14ac:dyDescent="0.35">
      <c r="A14" s="20"/>
      <c r="B14" s="2" t="s">
        <v>56</v>
      </c>
      <c r="C14" s="2" t="s">
        <v>78</v>
      </c>
      <c r="D14" s="2">
        <v>7.2400000000000006E-2</v>
      </c>
      <c r="E14" s="4">
        <v>472.91</v>
      </c>
      <c r="F14" s="3">
        <f t="shared" si="0"/>
        <v>34.238684000000006</v>
      </c>
      <c r="G14" s="14"/>
      <c r="H14" s="3">
        <f t="shared" si="1"/>
        <v>0</v>
      </c>
      <c r="I14" s="9">
        <f t="shared" ca="1" si="3"/>
        <v>0</v>
      </c>
      <c r="J14" s="18">
        <f t="shared" ca="1" si="2"/>
        <v>0</v>
      </c>
    </row>
    <row r="15" spans="1:22" ht="29" x14ac:dyDescent="0.35">
      <c r="A15" s="20"/>
      <c r="B15" s="2" t="s">
        <v>57</v>
      </c>
      <c r="C15" s="2" t="s">
        <v>70</v>
      </c>
      <c r="D15" s="2">
        <v>1.4590000000000001</v>
      </c>
      <c r="E15" s="4">
        <v>13.7</v>
      </c>
      <c r="F15" s="3">
        <f t="shared" si="0"/>
        <v>19.988299999999999</v>
      </c>
      <c r="G15" s="14"/>
      <c r="H15" s="3">
        <f t="shared" si="1"/>
        <v>0</v>
      </c>
      <c r="I15" s="9">
        <f t="shared" ca="1" si="3"/>
        <v>0</v>
      </c>
      <c r="J15" s="18">
        <f t="shared" ca="1" si="2"/>
        <v>0</v>
      </c>
    </row>
    <row r="16" spans="1:22" x14ac:dyDescent="0.35">
      <c r="A16" s="20"/>
      <c r="B16" s="2" t="s">
        <v>58</v>
      </c>
      <c r="C16" s="2" t="s">
        <v>80</v>
      </c>
      <c r="D16" s="2">
        <v>0.99</v>
      </c>
      <c r="E16" s="4">
        <v>20.190000000000001</v>
      </c>
      <c r="F16" s="3">
        <f t="shared" si="0"/>
        <v>19.988099999999999</v>
      </c>
      <c r="G16" s="14"/>
      <c r="H16" s="3">
        <f t="shared" si="1"/>
        <v>0</v>
      </c>
      <c r="I16" s="9">
        <f t="shared" ca="1" si="3"/>
        <v>0</v>
      </c>
      <c r="J16" s="18">
        <f t="shared" ca="1" si="2"/>
        <v>0</v>
      </c>
    </row>
    <row r="17" spans="1:10" x14ac:dyDescent="0.35">
      <c r="A17" s="20"/>
      <c r="B17" s="2" t="s">
        <v>59</v>
      </c>
      <c r="C17" s="2" t="s">
        <v>73</v>
      </c>
      <c r="D17" s="2">
        <v>1.3546</v>
      </c>
      <c r="E17" s="4">
        <v>25.15</v>
      </c>
      <c r="F17" s="3">
        <f t="shared" si="0"/>
        <v>34.068190000000001</v>
      </c>
      <c r="G17" s="14"/>
      <c r="H17" s="3">
        <f t="shared" si="1"/>
        <v>0</v>
      </c>
      <c r="I17" s="9">
        <f t="shared" ca="1" si="3"/>
        <v>0</v>
      </c>
      <c r="J17" s="18">
        <f t="shared" ca="1" si="2"/>
        <v>0</v>
      </c>
    </row>
    <row r="18" spans="1:10" x14ac:dyDescent="0.35">
      <c r="A18" s="20"/>
      <c r="B18" s="2" t="s">
        <v>81</v>
      </c>
      <c r="C18" s="2" t="s">
        <v>80</v>
      </c>
      <c r="D18" s="2">
        <v>2.0095999999999998</v>
      </c>
      <c r="E18" s="4">
        <v>12.44</v>
      </c>
      <c r="F18" s="3">
        <f t="shared" si="0"/>
        <v>24.999423999999998</v>
      </c>
      <c r="G18" s="14"/>
      <c r="H18" s="3">
        <f t="shared" si="1"/>
        <v>0</v>
      </c>
      <c r="I18" s="9">
        <f t="shared" ca="1" si="3"/>
        <v>0</v>
      </c>
      <c r="J18" s="18">
        <f t="shared" ca="1" si="2"/>
        <v>0</v>
      </c>
    </row>
    <row r="19" spans="1:10" x14ac:dyDescent="0.35">
      <c r="A19" s="20"/>
      <c r="B19" s="2" t="s">
        <v>60</v>
      </c>
      <c r="C19" s="2" t="s">
        <v>76</v>
      </c>
      <c r="D19" s="2">
        <v>0.1089</v>
      </c>
      <c r="E19" s="4">
        <v>76.739999999999995</v>
      </c>
      <c r="F19" s="3">
        <f t="shared" si="0"/>
        <v>8.3569859999999991</v>
      </c>
      <c r="G19" s="14"/>
      <c r="H19" s="3">
        <f t="shared" si="1"/>
        <v>0</v>
      </c>
      <c r="I19" s="9">
        <f t="shared" ca="1" si="3"/>
        <v>0</v>
      </c>
      <c r="J19" s="18">
        <f t="shared" ca="1" si="2"/>
        <v>0</v>
      </c>
    </row>
    <row r="20" spans="1:10" x14ac:dyDescent="0.35">
      <c r="A20" s="20"/>
      <c r="B20" s="2" t="s">
        <v>61</v>
      </c>
      <c r="C20" s="2" t="s">
        <v>76</v>
      </c>
      <c r="D20" s="2">
        <v>7.7628000000000004</v>
      </c>
      <c r="E20" s="4">
        <v>2.09</v>
      </c>
      <c r="F20" s="3">
        <f t="shared" si="0"/>
        <v>16.224252</v>
      </c>
      <c r="G20" s="14"/>
      <c r="H20" s="3">
        <f t="shared" si="1"/>
        <v>0</v>
      </c>
      <c r="I20" s="9">
        <f t="shared" ca="1" si="3"/>
        <v>0</v>
      </c>
      <c r="J20" s="18">
        <f t="shared" ca="1" si="2"/>
        <v>0</v>
      </c>
    </row>
    <row r="21" spans="1:10" x14ac:dyDescent="0.35">
      <c r="A21" s="20"/>
      <c r="B21" s="2" t="s">
        <v>62</v>
      </c>
      <c r="C21" s="2" t="s">
        <v>80</v>
      </c>
      <c r="D21" s="2">
        <v>0.6542</v>
      </c>
      <c r="E21" s="4">
        <v>275.13</v>
      </c>
      <c r="F21" s="3">
        <f t="shared" si="0"/>
        <v>179.99004600000001</v>
      </c>
      <c r="G21" s="14"/>
      <c r="H21" s="3">
        <f t="shared" si="1"/>
        <v>0</v>
      </c>
      <c r="I21" s="9">
        <f t="shared" ca="1" si="3"/>
        <v>0</v>
      </c>
      <c r="J21" s="18">
        <f t="shared" ca="1" si="2"/>
        <v>0</v>
      </c>
    </row>
    <row r="22" spans="1:10" x14ac:dyDescent="0.35">
      <c r="A22" s="20"/>
      <c r="B22" s="2" t="s">
        <v>64</v>
      </c>
      <c r="C22" s="2" t="s">
        <v>69</v>
      </c>
      <c r="D22" s="2">
        <v>5.0599999999999999E-2</v>
      </c>
      <c r="E22" s="4">
        <v>173.6</v>
      </c>
      <c r="F22" s="3">
        <f t="shared" si="0"/>
        <v>8.78416</v>
      </c>
      <c r="G22" s="14"/>
      <c r="H22" s="3">
        <f t="shared" si="1"/>
        <v>0</v>
      </c>
      <c r="I22" s="9">
        <f t="shared" ca="1" si="3"/>
        <v>0</v>
      </c>
      <c r="J22" s="18">
        <f t="shared" ca="1" si="2"/>
        <v>0</v>
      </c>
    </row>
    <row r="23" spans="1:10" x14ac:dyDescent="0.35">
      <c r="A23" s="20"/>
      <c r="B23" s="2" t="s">
        <v>65</v>
      </c>
      <c r="C23" s="2" t="s">
        <v>69</v>
      </c>
      <c r="D23" s="2">
        <v>0.22539999999999999</v>
      </c>
      <c r="E23" s="4">
        <v>22.27</v>
      </c>
      <c r="F23" s="3">
        <f t="shared" si="0"/>
        <v>5.0196579999999997</v>
      </c>
      <c r="G23" s="14"/>
      <c r="H23" s="3">
        <f t="shared" si="1"/>
        <v>0</v>
      </c>
      <c r="I23" s="9">
        <f t="shared" ca="1" si="3"/>
        <v>0</v>
      </c>
      <c r="J23" s="18">
        <f t="shared" ca="1" si="2"/>
        <v>0</v>
      </c>
    </row>
    <row r="24" spans="1:10" x14ac:dyDescent="0.35">
      <c r="A24" s="20"/>
      <c r="B24" s="2" t="s">
        <v>67</v>
      </c>
      <c r="C24" s="2" t="s">
        <v>69</v>
      </c>
      <c r="D24" s="2">
        <v>1.2629999999999999</v>
      </c>
      <c r="E24" s="4">
        <v>13.06</v>
      </c>
      <c r="F24" s="3">
        <f t="shared" si="0"/>
        <v>16.494779999999999</v>
      </c>
      <c r="G24" s="14"/>
      <c r="H24" s="3">
        <f t="shared" si="1"/>
        <v>0</v>
      </c>
      <c r="I24" s="9">
        <f t="shared" ca="1" si="3"/>
        <v>0</v>
      </c>
      <c r="J24" s="18">
        <f t="shared" ca="1" si="2"/>
        <v>0</v>
      </c>
    </row>
    <row r="25" spans="1:10" x14ac:dyDescent="0.35">
      <c r="A25" s="20"/>
      <c r="B25" s="2" t="s">
        <v>66</v>
      </c>
      <c r="C25" s="2" t="s">
        <v>69</v>
      </c>
      <c r="D25" s="2">
        <v>6.3512000000000004</v>
      </c>
      <c r="E25" s="4">
        <v>2.36</v>
      </c>
      <c r="F25" s="3">
        <f t="shared" si="0"/>
        <v>14.988832</v>
      </c>
      <c r="G25" s="14"/>
      <c r="H25" s="3">
        <f t="shared" si="1"/>
        <v>0</v>
      </c>
      <c r="I25" s="9">
        <f t="shared" ca="1" si="3"/>
        <v>0</v>
      </c>
      <c r="J25" s="18">
        <f t="shared" ca="1" si="2"/>
        <v>0</v>
      </c>
    </row>
    <row r="26" spans="1:10" ht="29" x14ac:dyDescent="0.35">
      <c r="A26" s="20"/>
      <c r="B26" s="2" t="s">
        <v>63</v>
      </c>
      <c r="C26" s="2" t="s">
        <v>70</v>
      </c>
      <c r="D26" s="2">
        <v>0.1739</v>
      </c>
      <c r="E26" s="4">
        <v>146.97</v>
      </c>
      <c r="F26" s="3">
        <f t="shared" si="0"/>
        <v>25.558083</v>
      </c>
      <c r="G26" s="14"/>
      <c r="H26" s="3">
        <f t="shared" si="1"/>
        <v>0</v>
      </c>
      <c r="I26" s="9">
        <f t="shared" ca="1" si="3"/>
        <v>0</v>
      </c>
      <c r="J26" s="18">
        <f t="shared" ca="1" si="2"/>
        <v>0</v>
      </c>
    </row>
    <row r="27" spans="1:10" x14ac:dyDescent="0.35">
      <c r="A27" s="20"/>
      <c r="B27" s="2" t="s">
        <v>54</v>
      </c>
      <c r="C27" s="2" t="s">
        <v>69</v>
      </c>
      <c r="D27" s="2">
        <v>1.1003000000000001</v>
      </c>
      <c r="E27" s="4">
        <v>21.1</v>
      </c>
      <c r="F27" s="3">
        <f t="shared" si="0"/>
        <v>23.216330000000003</v>
      </c>
      <c r="G27" s="14"/>
      <c r="H27" s="3">
        <f t="shared" si="1"/>
        <v>0</v>
      </c>
      <c r="I27" s="9">
        <f t="shared" ca="1" si="3"/>
        <v>0</v>
      </c>
      <c r="J27" s="18">
        <f t="shared" ca="1" si="2"/>
        <v>0</v>
      </c>
    </row>
    <row r="28" spans="1:10" x14ac:dyDescent="0.35">
      <c r="A28" s="20" t="s">
        <v>74</v>
      </c>
      <c r="B28" s="2" t="s">
        <v>24</v>
      </c>
      <c r="C28" s="2" t="s">
        <v>68</v>
      </c>
      <c r="D28" s="2">
        <v>3</v>
      </c>
      <c r="E28" s="4">
        <v>47.63</v>
      </c>
      <c r="F28" s="3">
        <f t="shared" si="0"/>
        <v>142.89000000000001</v>
      </c>
      <c r="G28" s="14"/>
      <c r="H28" s="3">
        <f t="shared" si="1"/>
        <v>0</v>
      </c>
      <c r="I28" s="9">
        <f t="shared" ca="1" si="3"/>
        <v>0</v>
      </c>
      <c r="J28" s="18">
        <f t="shared" ca="1" si="2"/>
        <v>0</v>
      </c>
    </row>
    <row r="29" spans="1:10" x14ac:dyDescent="0.35">
      <c r="A29" s="20"/>
      <c r="B29" s="2" t="s">
        <v>27</v>
      </c>
      <c r="C29" s="2" t="s">
        <v>69</v>
      </c>
      <c r="D29" s="2">
        <v>0.31390000000000001</v>
      </c>
      <c r="E29" s="4">
        <v>378.17</v>
      </c>
      <c r="F29" s="3">
        <f t="shared" si="0"/>
        <v>118.70756300000001</v>
      </c>
      <c r="G29" s="14"/>
      <c r="H29" s="3">
        <f t="shared" si="1"/>
        <v>0</v>
      </c>
      <c r="I29" s="9">
        <f t="shared" ca="1" si="3"/>
        <v>0</v>
      </c>
      <c r="J29" s="18">
        <f t="shared" ca="1" si="2"/>
        <v>0</v>
      </c>
    </row>
    <row r="30" spans="1:10" ht="29" x14ac:dyDescent="0.35">
      <c r="A30" s="20"/>
      <c r="B30" s="2" t="s">
        <v>28</v>
      </c>
      <c r="C30" s="2" t="s">
        <v>75</v>
      </c>
      <c r="D30" s="2">
        <v>1.4031</v>
      </c>
      <c r="E30" s="4">
        <v>91.06</v>
      </c>
      <c r="F30" s="3">
        <f t="shared" si="0"/>
        <v>127.76628600000001</v>
      </c>
      <c r="G30" s="14"/>
      <c r="H30" s="3">
        <f t="shared" si="1"/>
        <v>0</v>
      </c>
      <c r="I30" s="9">
        <f t="shared" ca="1" si="3"/>
        <v>0</v>
      </c>
      <c r="J30" s="18">
        <f t="shared" ca="1" si="2"/>
        <v>0</v>
      </c>
    </row>
    <row r="31" spans="1:10" ht="29" x14ac:dyDescent="0.35">
      <c r="A31" s="20"/>
      <c r="B31" s="2" t="s">
        <v>50</v>
      </c>
      <c r="C31" s="2" t="s">
        <v>70</v>
      </c>
      <c r="D31" s="2">
        <v>0.5927</v>
      </c>
      <c r="E31" s="4">
        <v>138.33000000000001</v>
      </c>
      <c r="F31" s="3">
        <f t="shared" si="0"/>
        <v>81.988191000000015</v>
      </c>
      <c r="G31" s="14"/>
      <c r="H31" s="3">
        <f t="shared" si="1"/>
        <v>0</v>
      </c>
      <c r="I31" s="9">
        <f t="shared" ca="1" si="3"/>
        <v>0</v>
      </c>
      <c r="J31" s="18">
        <f t="shared" ca="1" si="2"/>
        <v>0</v>
      </c>
    </row>
    <row r="32" spans="1:10" ht="29" x14ac:dyDescent="0.35">
      <c r="A32" s="20"/>
      <c r="B32" s="8" t="s">
        <v>34</v>
      </c>
      <c r="C32" s="2" t="s">
        <v>75</v>
      </c>
      <c r="D32" s="2">
        <v>0.1462</v>
      </c>
      <c r="E32" s="4">
        <v>170.99</v>
      </c>
      <c r="F32" s="3">
        <f t="shared" si="0"/>
        <v>24.998737999999999</v>
      </c>
      <c r="G32" s="14"/>
      <c r="H32" s="3">
        <f t="shared" si="1"/>
        <v>0</v>
      </c>
      <c r="I32" s="9">
        <f t="shared" ca="1" si="3"/>
        <v>0</v>
      </c>
      <c r="J32" s="18">
        <f t="shared" ca="1" si="2"/>
        <v>0</v>
      </c>
    </row>
    <row r="33" spans="1:10" x14ac:dyDescent="0.35">
      <c r="A33" s="20"/>
      <c r="B33" s="2" t="s">
        <v>44</v>
      </c>
      <c r="C33" s="2" t="s">
        <v>69</v>
      </c>
      <c r="D33" s="2">
        <v>0.21099999999999999</v>
      </c>
      <c r="E33" s="4">
        <v>179.99</v>
      </c>
      <c r="F33" s="3">
        <f t="shared" si="0"/>
        <v>37.977890000000002</v>
      </c>
      <c r="G33" s="14"/>
      <c r="H33" s="3">
        <f t="shared" si="1"/>
        <v>0</v>
      </c>
      <c r="I33" s="9">
        <f t="shared" ca="1" si="3"/>
        <v>0</v>
      </c>
      <c r="J33" s="18">
        <f t="shared" ca="1" si="2"/>
        <v>0</v>
      </c>
    </row>
    <row r="34" spans="1:10" ht="29" x14ac:dyDescent="0.35">
      <c r="A34" s="20"/>
      <c r="B34" s="2" t="s">
        <v>33</v>
      </c>
      <c r="C34" s="2" t="s">
        <v>75</v>
      </c>
      <c r="D34" s="2">
        <v>0.1406</v>
      </c>
      <c r="E34" s="4">
        <v>258.81</v>
      </c>
      <c r="F34" s="3">
        <f t="shared" si="0"/>
        <v>36.388686</v>
      </c>
      <c r="G34" s="14"/>
      <c r="H34" s="3">
        <f t="shared" si="1"/>
        <v>0</v>
      </c>
      <c r="I34" s="9">
        <f t="shared" ca="1" si="3"/>
        <v>0</v>
      </c>
      <c r="J34" s="18">
        <f t="shared" ca="1" si="2"/>
        <v>0</v>
      </c>
    </row>
    <row r="35" spans="1:10" x14ac:dyDescent="0.35">
      <c r="A35" s="20"/>
      <c r="B35" s="2" t="s">
        <v>30</v>
      </c>
      <c r="C35" s="2" t="s">
        <v>69</v>
      </c>
      <c r="D35" s="2">
        <v>0.41389999999999999</v>
      </c>
      <c r="E35" s="4">
        <v>378.17</v>
      </c>
      <c r="F35" s="3">
        <f t="shared" si="0"/>
        <v>156.524563</v>
      </c>
      <c r="G35" s="14"/>
      <c r="H35" s="3">
        <f t="shared" si="1"/>
        <v>0</v>
      </c>
      <c r="I35" s="9">
        <f t="shared" ca="1" si="3"/>
        <v>0</v>
      </c>
      <c r="J35" s="18">
        <f t="shared" ca="1" si="2"/>
        <v>0</v>
      </c>
    </row>
    <row r="36" spans="1:10" ht="29" x14ac:dyDescent="0.35">
      <c r="A36" s="20"/>
      <c r="B36" s="2" t="s">
        <v>52</v>
      </c>
      <c r="C36" s="2" t="s">
        <v>75</v>
      </c>
      <c r="D36" s="2">
        <v>0.03</v>
      </c>
      <c r="E36" s="4">
        <v>1552.96</v>
      </c>
      <c r="F36" s="3">
        <f t="shared" si="0"/>
        <v>46.588799999999999</v>
      </c>
      <c r="G36" s="14"/>
      <c r="H36" s="3">
        <f t="shared" si="1"/>
        <v>0</v>
      </c>
      <c r="I36" s="9">
        <f t="shared" ca="1" si="3"/>
        <v>0</v>
      </c>
      <c r="J36" s="18">
        <f t="shared" ca="1" si="2"/>
        <v>0</v>
      </c>
    </row>
    <row r="37" spans="1:10" x14ac:dyDescent="0.35">
      <c r="A37" s="20"/>
      <c r="B37" s="2" t="s">
        <v>45</v>
      </c>
      <c r="C37" s="2" t="s">
        <v>69</v>
      </c>
      <c r="D37" s="2">
        <v>1.37</v>
      </c>
      <c r="E37" s="4">
        <v>143.34</v>
      </c>
      <c r="F37" s="3">
        <f t="shared" si="0"/>
        <v>196.37580000000003</v>
      </c>
      <c r="G37" s="14"/>
      <c r="H37" s="3">
        <f t="shared" si="1"/>
        <v>0</v>
      </c>
      <c r="I37" s="9">
        <f t="shared" ca="1" si="3"/>
        <v>0</v>
      </c>
      <c r="J37" s="18">
        <f t="shared" ca="1" si="2"/>
        <v>0</v>
      </c>
    </row>
  </sheetData>
  <mergeCells count="21">
    <mergeCell ref="R7:R8"/>
    <mergeCell ref="S7:S8"/>
    <mergeCell ref="T7:T8"/>
    <mergeCell ref="U7:U8"/>
    <mergeCell ref="V7:V8"/>
    <mergeCell ref="J1:J2"/>
    <mergeCell ref="B1:B2"/>
    <mergeCell ref="C1:C2"/>
    <mergeCell ref="D1:D2"/>
    <mergeCell ref="M7:M8"/>
    <mergeCell ref="E1:E2"/>
    <mergeCell ref="F1:F2"/>
    <mergeCell ref="G1:G2"/>
    <mergeCell ref="H1:H2"/>
    <mergeCell ref="I1:I2"/>
    <mergeCell ref="A3:A27"/>
    <mergeCell ref="A28:A37"/>
    <mergeCell ref="O7:O8"/>
    <mergeCell ref="P7:P8"/>
    <mergeCell ref="Q7:Q8"/>
    <mergeCell ref="N7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Hoja2</vt:lpstr>
      <vt:lpstr>PORTAFOLIO</vt:lpstr>
      <vt:lpstr>Hoja3</vt:lpstr>
      <vt:lpstr>Hoja1</vt:lpstr>
      <vt:lpstr>CONSORCIO</vt:lpstr>
      <vt:lpstr>FINTUAL</vt:lpstr>
      <vt:lpstr>RACIONAL</vt:lpstr>
      <vt:lpstr>ZESTY</vt:lpstr>
      <vt:lpstr>DVA</vt:lpstr>
      <vt:lpstr>BINANCE</vt:lpstr>
      <vt:lpstr>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Silva</dc:creator>
  <cp:lastModifiedBy>Ariel Silva</cp:lastModifiedBy>
  <dcterms:created xsi:type="dcterms:W3CDTF">2025-06-02T16:10:04Z</dcterms:created>
  <dcterms:modified xsi:type="dcterms:W3CDTF">2026-01-29T13:20:56Z</dcterms:modified>
</cp:coreProperties>
</file>